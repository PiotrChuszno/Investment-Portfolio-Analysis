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iotrchuszno/Desktop/"/>
    </mc:Choice>
  </mc:AlternateContent>
  <xr:revisionPtr revIDLastSave="0" documentId="13_ncr:1_{AF1D76E3-1A51-DA45-A4C2-F0D6D6B015FE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I14" i="1" s="1"/>
  <c r="G13" i="1"/>
  <c r="D12" i="1"/>
  <c r="E6" i="1"/>
  <c r="F6" i="1" s="1"/>
  <c r="E5" i="1"/>
  <c r="F5" i="1" s="1"/>
  <c r="G5" i="1" s="1"/>
  <c r="D11" i="1" l="1"/>
  <c r="G6" i="1"/>
  <c r="H6" i="1" s="1"/>
  <c r="D7" i="1" a="1"/>
  <c r="D7" i="1" s="1"/>
  <c r="D10" i="1" s="1"/>
  <c r="D13" i="1" s="1"/>
  <c r="G14" i="1"/>
  <c r="G15" i="1" s="1"/>
  <c r="G16" i="1" s="1"/>
  <c r="I13" i="1" l="1"/>
  <c r="I15" i="1" s="1"/>
  <c r="I16" i="1" s="1"/>
  <c r="D15" i="1"/>
  <c r="D16" i="1" s="1"/>
</calcChain>
</file>

<file path=xl/sharedStrings.xml><?xml version="1.0" encoding="utf-8"?>
<sst xmlns="http://schemas.openxmlformats.org/spreadsheetml/2006/main" count="29" uniqueCount="29">
  <si>
    <t>EXE</t>
  </si>
  <si>
    <t>Expand Energy Corp.</t>
  </si>
  <si>
    <t>Discount Rate</t>
  </si>
  <si>
    <t>Year</t>
  </si>
  <si>
    <t>Terminal Value</t>
  </si>
  <si>
    <t>EPS</t>
  </si>
  <si>
    <t>Growth Rate</t>
  </si>
  <si>
    <t>Blended Value FCF.66/EPS.34</t>
  </si>
  <si>
    <t>RED                        ------&gt;</t>
  </si>
  <si>
    <t>Growth year 2</t>
  </si>
  <si>
    <t>Growth year 3</t>
  </si>
  <si>
    <t>Growth year 4</t>
  </si>
  <si>
    <t>BLUE                      ------&gt;</t>
  </si>
  <si>
    <t>Margin of Safety / (Overvalued)</t>
  </si>
  <si>
    <t>Projected FCF (USD Millions)</t>
  </si>
  <si>
    <t>Intrinsic Value (USD Millions)</t>
  </si>
  <si>
    <t>Cash or Cash Equivalent (USD Millions)</t>
  </si>
  <si>
    <t>Total Debt (USD Millions)</t>
  </si>
  <si>
    <t>Equity Value (USD Millions)</t>
  </si>
  <si>
    <t>Market Cap (USD Millions)</t>
  </si>
  <si>
    <t>Shares Out (Millions)</t>
  </si>
  <si>
    <t>Target Price = EPS x (1 + g) x Target P/E</t>
  </si>
  <si>
    <t>Target P/E</t>
  </si>
  <si>
    <t>Target P/E: Based on qualitative factors (Moat, Growth Runway, Industry margins)</t>
  </si>
  <si>
    <t>Input manually</t>
  </si>
  <si>
    <t>Terminal Growth Rate</t>
  </si>
  <si>
    <t>Stock Price (USD)</t>
  </si>
  <si>
    <t>Value Per Share (USD)</t>
  </si>
  <si>
    <t>Value Delta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</si>
</sst>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0.0%"/>
    <numFmt numFmtId="166" formatCode="_(* #,##0_);_(* \(#,##0\);_(* &quot;-&quot;??_);_(@_)"/>
    <numFmt numFmtId="167" formatCode="_(&quot;$&quot;* #,##0_);_(&quot;$&quot;* \(#,##0\);_(&quot;$&quot;* &quot;-&quot;??_);_(@_)"/>
    <numFmt numFmtId="168" formatCode="_(&quot;$&quot;* #,##0.00_);_(&quot;$&quot;* \(#,##0.00\);_(&quot;$&quot;* &quot;-&quot;??_);_(@_)"/>
  </numFmts>
  <fonts count="20" x14ac:knownFonts="1">
    <font>
      <sz val="10"/>
      <color rgb="FF000000"/>
      <name val="Arial"/>
      <scheme val="minor"/>
    </font>
    <font>
      <sz val="12"/>
      <color rgb="FFFFFFFF"/>
      <name val="Open Sans"/>
      <family val="2"/>
    </font>
    <font>
      <sz val="12"/>
      <color rgb="FFEA9999"/>
      <name val="Open Sans"/>
      <family val="2"/>
    </font>
    <font>
      <sz val="9"/>
      <color rgb="FFFFFFFF"/>
      <name val="Open Sans"/>
      <family val="2"/>
    </font>
    <font>
      <b/>
      <sz val="14"/>
      <color rgb="FFFFFFFF"/>
      <name val="Open Sans"/>
      <family val="2"/>
    </font>
    <font>
      <b/>
      <sz val="12"/>
      <color rgb="FFFFFFFF"/>
      <name val="Open Sans"/>
      <family val="2"/>
    </font>
    <font>
      <sz val="12"/>
      <color theme="4" tint="0.39997558519241921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4"/>
      <color rgb="FFFFFFFF"/>
      <name val="Open Sans"/>
      <family val="2"/>
    </font>
    <font>
      <sz val="10"/>
      <color rgb="FFFFFFFF"/>
      <name val="Open Sans"/>
      <family val="2"/>
    </font>
    <font>
      <sz val="14"/>
      <color theme="1"/>
      <name val="Open Sans"/>
      <family val="2"/>
    </font>
    <font>
      <b/>
      <sz val="14"/>
      <color theme="6"/>
      <name val="Open Sans"/>
      <family val="2"/>
    </font>
    <font>
      <sz val="12"/>
      <color theme="5" tint="0.59999389629810485"/>
      <name val="Open Sans"/>
      <family val="2"/>
    </font>
    <font>
      <sz val="11"/>
      <color theme="5" tint="0.59999389629810485"/>
      <name val="Open Sans"/>
      <family val="2"/>
    </font>
    <font>
      <sz val="11"/>
      <color rgb="FFFFFFFF"/>
      <name val="Open Sans"/>
      <family val="2"/>
    </font>
    <font>
      <sz val="11"/>
      <color theme="4" tint="0.39997558519241921"/>
      <name val="Open Sans"/>
      <family val="2"/>
    </font>
    <font>
      <sz val="10"/>
      <color theme="0"/>
      <name val="Open Sans"/>
      <family val="2"/>
    </font>
    <font>
      <b/>
      <sz val="14"/>
      <color theme="5" tint="0.59999389629810485"/>
      <name val="Open Sans"/>
      <family val="2"/>
    </font>
    <font>
      <b/>
      <sz val="12"/>
      <color theme="5" tint="0.59999389629810485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9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10" fontId="5" fillId="2" borderId="1" xfId="0" applyNumberFormat="1" applyFont="1" applyFill="1" applyBorder="1" applyAlignment="1">
      <alignment horizontal="right" wrapText="1"/>
    </xf>
    <xf numFmtId="10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right"/>
    </xf>
    <xf numFmtId="168" fontId="1" fillId="2" borderId="1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1" xfId="0" applyFont="1" applyFill="1" applyBorder="1"/>
    <xf numFmtId="9" fontId="7" fillId="2" borderId="1" xfId="0" applyNumberFormat="1" applyFont="1" applyFill="1" applyBorder="1"/>
    <xf numFmtId="0" fontId="8" fillId="0" borderId="0" xfId="0" applyFont="1"/>
    <xf numFmtId="164" fontId="7" fillId="2" borderId="1" xfId="0" applyNumberFormat="1" applyFont="1" applyFill="1" applyBorder="1"/>
    <xf numFmtId="167" fontId="1" fillId="2" borderId="2" xfId="0" applyNumberFormat="1" applyFont="1" applyFill="1" applyBorder="1" applyAlignment="1">
      <alignment horizontal="right"/>
    </xf>
    <xf numFmtId="166" fontId="7" fillId="2" borderId="3" xfId="0" applyNumberFormat="1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9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7" fillId="2" borderId="7" xfId="0" applyFont="1" applyFill="1" applyBorder="1"/>
    <xf numFmtId="9" fontId="2" fillId="2" borderId="1" xfId="0" applyNumberFormat="1" applyFont="1" applyFill="1" applyBorder="1" applyAlignment="1">
      <alignment horizontal="right"/>
    </xf>
    <xf numFmtId="0" fontId="10" fillId="2" borderId="0" xfId="0" applyFont="1" applyFill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/>
    <xf numFmtId="9" fontId="4" fillId="2" borderId="1" xfId="0" applyNumberFormat="1" applyFont="1" applyFill="1" applyBorder="1" applyAlignment="1">
      <alignment horizontal="right"/>
    </xf>
    <xf numFmtId="0" fontId="11" fillId="2" borderId="1" xfId="0" applyFont="1" applyFill="1" applyBorder="1"/>
    <xf numFmtId="9" fontId="12" fillId="2" borderId="1" xfId="0" applyNumberFormat="1" applyFont="1" applyFill="1" applyBorder="1" applyAlignment="1">
      <alignment horizontal="right"/>
    </xf>
    <xf numFmtId="167" fontId="13" fillId="2" borderId="1" xfId="0" applyNumberFormat="1" applyFont="1" applyFill="1" applyBorder="1" applyAlignment="1">
      <alignment horizontal="right"/>
    </xf>
    <xf numFmtId="168" fontId="13" fillId="2" borderId="1" xfId="0" applyNumberFormat="1" applyFont="1" applyFill="1" applyBorder="1" applyAlignment="1">
      <alignment horizontal="right"/>
    </xf>
    <xf numFmtId="166" fontId="13" fillId="2" borderId="1" xfId="0" applyNumberFormat="1" applyFont="1" applyFill="1" applyBorder="1" applyAlignment="1">
      <alignment horizontal="right"/>
    </xf>
    <xf numFmtId="0" fontId="14" fillId="2" borderId="0" xfId="0" applyFont="1" applyFill="1"/>
    <xf numFmtId="0" fontId="6" fillId="2" borderId="1" xfId="0" applyFont="1" applyFill="1" applyBorder="1" applyAlignment="1">
      <alignment horizontal="right"/>
    </xf>
    <xf numFmtId="0" fontId="15" fillId="2" borderId="0" xfId="0" applyFont="1" applyFill="1"/>
    <xf numFmtId="0" fontId="16" fillId="2" borderId="0" xfId="0" applyFont="1" applyFill="1"/>
    <xf numFmtId="0" fontId="17" fillId="2" borderId="1" xfId="0" applyFont="1" applyFill="1" applyBorder="1"/>
    <xf numFmtId="0" fontId="18" fillId="2" borderId="1" xfId="0" applyFont="1" applyFill="1" applyBorder="1" applyAlignment="1">
      <alignment horizontal="center"/>
    </xf>
    <xf numFmtId="165" fontId="19" fillId="2" borderId="1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L22" sqref="L22"/>
    </sheetView>
  </sheetViews>
  <sheetFormatPr baseColWidth="10" defaultColWidth="12.6640625" defaultRowHeight="19" customHeight="1" x14ac:dyDescent="0.25"/>
  <cols>
    <col min="1" max="2" width="12.6640625" style="18"/>
    <col min="3" max="3" width="40" style="18" customWidth="1"/>
    <col min="4" max="4" width="25.6640625" style="18" customWidth="1"/>
    <col min="5" max="5" width="10.1640625" style="18" customWidth="1"/>
    <col min="6" max="6" width="10" style="18" customWidth="1"/>
    <col min="7" max="7" width="11.6640625" style="18" customWidth="1"/>
    <col min="8" max="8" width="16.6640625" style="18" customWidth="1"/>
    <col min="9" max="9" width="12.6640625" style="18"/>
    <col min="10" max="10" width="21.6640625" style="18" customWidth="1"/>
    <col min="11" max="11" width="9.6640625" style="18" customWidth="1"/>
    <col min="12" max="16384" width="12.6640625" style="18"/>
  </cols>
  <sheetData>
    <row r="1" spans="1:28" ht="19" customHeight="1" x14ac:dyDescent="0.25">
      <c r="A1" s="15"/>
      <c r="B1" s="15"/>
      <c r="C1" s="15"/>
      <c r="D1" s="15"/>
      <c r="E1" s="15"/>
      <c r="F1" s="15"/>
      <c r="G1" s="15"/>
      <c r="H1" s="15"/>
      <c r="I1" s="16"/>
      <c r="J1" s="17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9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 t="s">
        <v>9</v>
      </c>
      <c r="K2" s="2">
        <v>0.1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19" customHeight="1" x14ac:dyDescent="0.3">
      <c r="A3" s="3"/>
      <c r="B3" s="19"/>
      <c r="C3" s="44" t="s">
        <v>0</v>
      </c>
      <c r="D3" s="44" t="s">
        <v>1</v>
      </c>
      <c r="E3" s="16"/>
      <c r="F3" s="16"/>
      <c r="G3" s="16"/>
      <c r="H3" s="16"/>
      <c r="I3" s="15"/>
      <c r="J3" s="1" t="s">
        <v>10</v>
      </c>
      <c r="K3" s="2">
        <v>0.1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9" customHeight="1" x14ac:dyDescent="0.3">
      <c r="A4" s="3"/>
      <c r="B4" s="19"/>
      <c r="C4" s="4" t="s">
        <v>2</v>
      </c>
      <c r="D4" s="45">
        <v>8.5000000000000006E-2</v>
      </c>
      <c r="E4" s="16"/>
      <c r="F4" s="16"/>
      <c r="G4" s="16"/>
      <c r="H4" s="16"/>
      <c r="I4" s="15"/>
      <c r="J4" s="1" t="s">
        <v>11</v>
      </c>
      <c r="K4" s="2">
        <v>0.1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9" customHeight="1" x14ac:dyDescent="0.3">
      <c r="A5" s="5"/>
      <c r="B5" s="19"/>
      <c r="C5" s="6" t="s">
        <v>3</v>
      </c>
      <c r="D5" s="7">
        <v>1</v>
      </c>
      <c r="E5" s="7">
        <f>D5+1</f>
        <v>2</v>
      </c>
      <c r="F5" s="7">
        <f>E5+1</f>
        <v>3</v>
      </c>
      <c r="G5" s="7">
        <f>F5+1</f>
        <v>4</v>
      </c>
      <c r="H5" s="8" t="s">
        <v>4</v>
      </c>
      <c r="I5" s="15"/>
      <c r="J5" s="1" t="s">
        <v>25</v>
      </c>
      <c r="K5" s="9">
        <v>2.5000000000000001E-2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9" customHeight="1" x14ac:dyDescent="0.3">
      <c r="A6" s="19"/>
      <c r="B6" s="19"/>
      <c r="C6" s="1" t="s">
        <v>14</v>
      </c>
      <c r="D6" s="10">
        <v>1600</v>
      </c>
      <c r="E6" s="11">
        <f>+D6*(1+$K2)</f>
        <v>1760.0000000000002</v>
      </c>
      <c r="F6" s="11">
        <f>+E6*(1+$K3)</f>
        <v>1936.0000000000005</v>
      </c>
      <c r="G6" s="11">
        <f>+F6*(1+$K4)</f>
        <v>2129.6000000000008</v>
      </c>
      <c r="H6" s="20">
        <f>+(G6*(1+K5))/(D4-K5)</f>
        <v>36380.666666666672</v>
      </c>
      <c r="I6" s="16"/>
      <c r="J6" s="16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9" customHeight="1" x14ac:dyDescent="0.3">
      <c r="A7" s="19"/>
      <c r="B7" s="19"/>
      <c r="C7" s="1" t="s">
        <v>15</v>
      </c>
      <c r="D7" s="12">
        <f t="array" ref="D7">NPV(D4,D6:H6)</f>
        <v>30216.866219831267</v>
      </c>
      <c r="E7" s="16"/>
      <c r="F7" s="21"/>
      <c r="G7" s="22"/>
      <c r="H7" s="23"/>
      <c r="I7" s="16"/>
      <c r="J7" s="16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9" customHeight="1" x14ac:dyDescent="0.3">
      <c r="A8" s="19"/>
      <c r="B8" s="19"/>
      <c r="C8" s="1" t="s">
        <v>16</v>
      </c>
      <c r="D8" s="13">
        <v>613</v>
      </c>
      <c r="E8" s="16"/>
      <c r="F8" s="21"/>
      <c r="G8" s="22"/>
      <c r="H8" s="24"/>
      <c r="I8" s="16"/>
      <c r="J8" s="16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9" customHeight="1" x14ac:dyDescent="0.3">
      <c r="A9" s="19"/>
      <c r="B9" s="19"/>
      <c r="C9" s="1" t="s">
        <v>17</v>
      </c>
      <c r="D9" s="36">
        <v>5000.7</v>
      </c>
      <c r="E9" s="16"/>
      <c r="F9" s="25" t="s">
        <v>21</v>
      </c>
      <c r="G9" s="16"/>
      <c r="H9" s="24"/>
      <c r="I9" s="16"/>
      <c r="J9" s="1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9" customHeight="1" x14ac:dyDescent="0.3">
      <c r="A10" s="19"/>
      <c r="B10" s="19"/>
      <c r="C10" s="1" t="s">
        <v>18</v>
      </c>
      <c r="D10" s="12">
        <f>+D7+D8-D9</f>
        <v>25829.166219831266</v>
      </c>
      <c r="E10" s="16"/>
      <c r="F10" s="26" t="s">
        <v>5</v>
      </c>
      <c r="G10" s="27">
        <v>9.74</v>
      </c>
      <c r="H10" s="28"/>
      <c r="I10" s="16"/>
      <c r="J10" s="16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9" customHeight="1" x14ac:dyDescent="0.3">
      <c r="A11" s="19"/>
      <c r="B11" s="19"/>
      <c r="C11" s="1" t="s">
        <v>19</v>
      </c>
      <c r="D11" s="12">
        <f ca="1">D12*D14</f>
        <v>25110.2631</v>
      </c>
      <c r="E11" s="43"/>
      <c r="F11" s="40" t="s">
        <v>22</v>
      </c>
      <c r="G11" s="27">
        <v>12</v>
      </c>
      <c r="H11" s="16"/>
      <c r="I11" s="16"/>
      <c r="J11" s="1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19" customHeight="1" x14ac:dyDescent="0.3">
      <c r="A12" s="19"/>
      <c r="B12" s="19"/>
      <c r="C12" s="1" t="s">
        <v>20</v>
      </c>
      <c r="D12" s="38">
        <f ca="1">IFERROR(__xludf.DUMMYFUNCTION("GOOGLEFINANCE(C3, ""Shares"")/1000000"),238.17)</f>
        <v>238.17</v>
      </c>
      <c r="E12" s="16"/>
      <c r="F12" s="26" t="s">
        <v>6</v>
      </c>
      <c r="G12" s="29">
        <v>0.1</v>
      </c>
      <c r="H12" s="16"/>
      <c r="I12" s="31" t="s">
        <v>7</v>
      </c>
      <c r="J12" s="1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9" customHeight="1" x14ac:dyDescent="0.3">
      <c r="A13" s="19"/>
      <c r="B13" s="19"/>
      <c r="C13" s="1" t="s">
        <v>27</v>
      </c>
      <c r="D13" s="14">
        <f ca="1">+D10/D12</f>
        <v>108.44844531146353</v>
      </c>
      <c r="E13" s="16"/>
      <c r="F13" s="16"/>
      <c r="G13" s="14">
        <f>+G10*(1+G12)*G11</f>
        <v>128.56800000000001</v>
      </c>
      <c r="H13" s="16"/>
      <c r="I13" s="14">
        <f ca="1">+(D13*0.666666)+(G13*0.33333)</f>
        <v>115.15446268201215</v>
      </c>
      <c r="J13" s="16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9" customHeight="1" x14ac:dyDescent="0.3">
      <c r="A14" s="19"/>
      <c r="B14" s="19"/>
      <c r="C14" s="1" t="s">
        <v>26</v>
      </c>
      <c r="D14" s="37">
        <f ca="1">IFERROR(__xludf.DUMMYFUNCTION("GOOGLEFINANCE(C3)"),105.43)</f>
        <v>105.43</v>
      </c>
      <c r="E14" s="16"/>
      <c r="F14" s="16"/>
      <c r="G14" s="14">
        <f ca="1">+D14</f>
        <v>105.43</v>
      </c>
      <c r="H14" s="16"/>
      <c r="I14" s="14">
        <f ca="1">+D14</f>
        <v>105.43</v>
      </c>
      <c r="J14" s="1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9" customHeight="1" x14ac:dyDescent="0.3">
      <c r="A15" s="19"/>
      <c r="B15" s="19"/>
      <c r="C15" s="1" t="s">
        <v>28</v>
      </c>
      <c r="D15" s="14">
        <f ca="1">+D13-D14</f>
        <v>3.0184453114635232</v>
      </c>
      <c r="E15" s="16"/>
      <c r="F15" s="16"/>
      <c r="G15" s="14">
        <f ca="1">+G13-G14</f>
        <v>23.138000000000005</v>
      </c>
      <c r="H15" s="16"/>
      <c r="I15" s="14">
        <f ca="1">+I13-I14</f>
        <v>9.7244626820121454</v>
      </c>
      <c r="J15" s="16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29" customHeight="1" x14ac:dyDescent="0.3">
      <c r="A16" s="19"/>
      <c r="B16" s="19"/>
      <c r="C16" s="32" t="s">
        <v>13</v>
      </c>
      <c r="D16" s="33">
        <f ca="1">IF(D15&gt;0, (D15/D13),(D15/D14))</f>
        <v>2.7832997539010907E-2</v>
      </c>
      <c r="E16" s="34"/>
      <c r="F16" s="34"/>
      <c r="G16" s="33">
        <f ca="1">IF(G15&gt;0,(G15/G13),(G15/G14))</f>
        <v>0.17996702134279138</v>
      </c>
      <c r="H16" s="34"/>
      <c r="I16" s="35">
        <f ca="1">IF(I15&gt;0,(I15/I13),(I15/I14))</f>
        <v>8.4447119595054715E-2</v>
      </c>
      <c r="J16" s="1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9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ht="19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ht="19" customHeight="1" x14ac:dyDescent="0.25">
      <c r="A19" s="30"/>
      <c r="B19" s="30"/>
      <c r="C19" s="39" t="s">
        <v>8</v>
      </c>
      <c r="D19" s="41" t="s">
        <v>24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ht="19" customHeight="1" x14ac:dyDescent="0.25">
      <c r="A20" s="30"/>
      <c r="B20" s="30"/>
      <c r="C20" s="42" t="s">
        <v>12</v>
      </c>
      <c r="D20" s="41" t="s">
        <v>23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 ht="19" customHeight="1" x14ac:dyDescent="0.25">
      <c r="A21" s="30"/>
      <c r="B21" s="30"/>
      <c r="C21" s="41"/>
      <c r="D21" s="4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28" ht="19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28" ht="19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28" ht="19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 ht="19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9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8" ht="19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28" ht="19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28" ht="19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ht="19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ht="19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ht="19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ht="19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ht="19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ht="19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ht="19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:28" ht="19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:28" ht="19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:28" ht="19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:28" ht="19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:28" ht="19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19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19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 ht="19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9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19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:28" ht="19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8" ht="19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19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19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19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19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19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19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1:28" ht="19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spans="1:28" ht="19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1:28" ht="19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spans="1:28" ht="19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:28" ht="19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spans="1:28" ht="19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spans="1:28" ht="19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:28" ht="19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:28" ht="19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spans="1:28" ht="19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1:28" ht="19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:28" ht="19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spans="1:28" ht="19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1:28" ht="19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:28" ht="19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spans="1:28" ht="19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1:28" ht="19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spans="1:28" ht="19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spans="1:28" ht="19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spans="1:28" ht="19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:28" ht="19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ht="19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:28" ht="19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spans="1:28" ht="19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:28" ht="19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spans="1:28" ht="19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:28" ht="19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:28" ht="19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ht="19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:28" ht="19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:28" ht="19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spans="1:28" ht="19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spans="1:28" ht="19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spans="1:28" ht="19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spans="1:28" ht="19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spans="1:28" ht="19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spans="1:28" ht="19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spans="1:28" ht="19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spans="1:28" ht="19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spans="1:28" ht="19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spans="1:28" ht="19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spans="1:28" ht="19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spans="1:28" ht="19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spans="1:28" ht="19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1:28" ht="19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1:28" ht="19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1:28" ht="19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spans="1:28" ht="19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spans="1:28" ht="19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spans="1:28" ht="19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1:28" ht="19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spans="1:28" ht="19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spans="1:28" ht="19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spans="1:28" ht="19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spans="1:28" ht="19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spans="1:28" ht="19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spans="1:28" ht="19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spans="1:28" ht="19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spans="1:28" ht="19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spans="1:28" ht="19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spans="1:28" ht="19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spans="1:28" ht="19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spans="1:28" ht="19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spans="1:28" ht="19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spans="1:28" ht="19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spans="1:28" ht="19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spans="1:28" ht="19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spans="1:28" ht="19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spans="1:28" ht="19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spans="1:28" ht="19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spans="1:28" ht="19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spans="1:28" ht="19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spans="1:28" ht="19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spans="1:28" ht="19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spans="1:28" ht="19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spans="1:28" ht="19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spans="1:28" ht="19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spans="1:28" ht="19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spans="1:28" ht="19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spans="1:28" ht="19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spans="1:28" ht="19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spans="1:28" ht="19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spans="1:28" ht="19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spans="1:28" ht="19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spans="1:28" ht="19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spans="1:28" ht="19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spans="1:28" ht="19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spans="1:28" ht="19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spans="1:28" ht="19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spans="1:28" ht="19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spans="1:28" ht="19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spans="1:28" ht="19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spans="1:28" ht="19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spans="1:28" ht="19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spans="1:28" ht="19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spans="1:28" ht="19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spans="1:28" ht="19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spans="1:28" ht="19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spans="1:28" ht="19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spans="1:28" ht="19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spans="1:28" ht="19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spans="1:28" ht="19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spans="1:28" ht="19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spans="1:28" ht="19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spans="1:28" ht="19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spans="1:28" ht="19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spans="1:28" ht="19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spans="1:28" ht="19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spans="1:28" ht="19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spans="1:28" ht="19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spans="1:28" ht="19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spans="1:28" ht="19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spans="1:28" ht="19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spans="1:28" ht="19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28" ht="19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spans="1:28" ht="19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spans="1:28" ht="19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spans="1:28" ht="19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spans="1:28" ht="19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spans="1:28" ht="19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spans="1:28" ht="19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spans="1:28" ht="19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spans="1:28" ht="19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spans="1:28" ht="19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spans="1:28" ht="19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spans="1:28" ht="19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spans="1:28" ht="19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spans="1:28" ht="19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spans="1:28" ht="19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spans="1:28" ht="19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spans="1:28" ht="19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spans="1:28" ht="19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spans="1:28" ht="19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spans="1:28" ht="19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spans="1:28" ht="19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spans="1:28" ht="19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spans="1:28" ht="19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spans="1:28" ht="19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spans="1:28" ht="19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spans="1:28" ht="19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spans="1:28" ht="19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spans="1:28" ht="19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spans="1:28" ht="19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spans="1:28" ht="19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spans="1:28" ht="19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spans="1:28" ht="19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spans="1:28" ht="19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spans="1:28" ht="19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spans="1:28" ht="19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spans="1:28" ht="19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spans="1:28" ht="19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spans="1:28" ht="19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spans="1:28" ht="19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spans="1:28" ht="19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spans="1:28" ht="19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spans="1:28" ht="19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spans="1:28" ht="19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spans="1:28" ht="19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spans="1:28" ht="19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spans="1:28" ht="19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spans="1:28" ht="19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spans="1:28" ht="19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spans="1:28" ht="19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spans="1:28" ht="19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spans="1:28" ht="19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spans="1:28" ht="19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spans="1:28" ht="19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spans="1:28" ht="19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spans="1:28" ht="19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spans="1:28" ht="19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spans="1:28" ht="19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spans="1:28" ht="19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spans="1:28" ht="19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spans="1:28" ht="19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spans="1:28" ht="19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spans="1:28" ht="19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spans="1:28" ht="19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spans="1:28" ht="19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spans="1:28" ht="19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spans="1:28" ht="19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spans="1:28" ht="19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spans="1:28" ht="19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spans="1:28" ht="19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spans="1:28" ht="19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spans="1:28" ht="19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spans="1:28" ht="19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spans="1:28" ht="19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spans="1:28" ht="19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spans="1:28" ht="19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spans="1:28" ht="19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spans="1:28" ht="19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spans="1:28" ht="19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spans="1:28" ht="19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spans="1:28" ht="19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spans="1:28" ht="19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spans="1:28" ht="19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spans="1:28" ht="19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spans="1:28" ht="19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spans="1:28" ht="19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spans="1:28" ht="19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spans="1:28" ht="19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spans="1:28" ht="19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spans="1:28" ht="19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spans="1:28" ht="19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spans="1:28" ht="19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spans="1:28" ht="19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spans="1:28" ht="19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spans="1:28" ht="19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spans="1:28" ht="19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spans="1:28" ht="19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spans="1:28" ht="19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spans="1:28" ht="19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spans="1:28" ht="19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spans="1:28" ht="19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spans="1:28" ht="19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spans="1:28" ht="19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spans="1:28" ht="19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spans="1:28" ht="19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spans="1:28" ht="19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spans="1:28" ht="19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spans="1:28" ht="19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spans="1:28" ht="19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spans="1:28" ht="19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spans="1:28" ht="19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spans="1:28" ht="19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spans="1:28" ht="19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spans="1:28" ht="19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spans="1:28" ht="19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spans="1:28" ht="19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spans="1:28" ht="19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spans="1:28" ht="19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spans="1:28" ht="19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spans="1:28" ht="19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spans="1:28" ht="19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spans="1:28" ht="19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spans="1:28" ht="19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spans="1:28" ht="19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spans="1:28" ht="19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spans="1:28" ht="19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spans="1:28" ht="19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spans="1:28" ht="19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spans="1:28" ht="19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spans="1:28" ht="19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spans="1:28" ht="19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spans="1:28" ht="19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spans="1:28" ht="19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spans="1:28" ht="19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spans="1:28" ht="19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spans="1:28" ht="19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spans="1:28" ht="19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spans="1:28" ht="19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spans="1:28" ht="19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spans="1:28" ht="19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spans="1:28" ht="19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spans="1:28" ht="19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spans="1:28" ht="19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spans="1:28" ht="19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spans="1:28" ht="19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spans="1:28" ht="19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spans="1:28" ht="19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spans="1:28" ht="19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spans="1:28" ht="19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spans="1:28" ht="19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spans="1:28" ht="19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1:28" ht="19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spans="1:28" ht="19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spans="1:28" ht="19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spans="1:28" ht="19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spans="1:28" ht="19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spans="1:28" ht="19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spans="1:28" ht="19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spans="1:28" ht="19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spans="1:28" ht="19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spans="1:28" ht="19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spans="1:28" ht="19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spans="1:28" ht="19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spans="1:28" ht="19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spans="1:28" ht="19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spans="1:28" ht="19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spans="1:28" ht="19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spans="1:28" ht="19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spans="1:28" ht="19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spans="1:28" ht="19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spans="1:28" ht="19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spans="1:28" ht="19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spans="1:28" ht="19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spans="1:28" ht="19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spans="1:28" ht="19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spans="1:28" ht="19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spans="1:28" ht="19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spans="1:28" ht="19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spans="1:28" ht="19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spans="1:28" ht="19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spans="1:28" ht="19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spans="1:28" ht="19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spans="1:28" ht="19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spans="1:28" ht="19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spans="1:28" ht="19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spans="1:28" ht="19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spans="1:28" ht="19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spans="1:28" ht="19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spans="1:28" ht="19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spans="1:28" ht="19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spans="1:28" ht="19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spans="1:28" ht="19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spans="1:28" ht="19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spans="1:28" ht="19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spans="1:28" ht="19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spans="1:28" ht="19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spans="1:28" ht="19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spans="1:28" ht="19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spans="1:28" ht="19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spans="1:28" ht="19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spans="1:28" ht="19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spans="1:28" ht="19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spans="1:28" ht="19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spans="1:28" ht="19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spans="1:28" ht="19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spans="1:28" ht="19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spans="1:28" ht="19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spans="1:28" ht="19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spans="1:28" ht="19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spans="1:28" ht="19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spans="1:28" ht="19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spans="1:28" ht="19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spans="1:28" ht="19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spans="1:28" ht="19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spans="1:28" ht="19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spans="1:28" ht="19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spans="1:28" ht="19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spans="1:28" ht="19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spans="1:28" ht="19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spans="1:28" ht="19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spans="1:28" ht="19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spans="1:28" ht="19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spans="1:28" ht="19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spans="1:28" ht="19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spans="1:28" ht="19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spans="1:28" ht="19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spans="1:28" ht="19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spans="1:28" ht="19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spans="1:28" ht="19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spans="1:28" ht="19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spans="1:28" ht="19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spans="1:28" ht="19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spans="1:28" ht="19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spans="1:28" ht="19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spans="1:28" ht="19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spans="1:28" ht="19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spans="1:28" ht="19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spans="1:28" ht="19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spans="1:28" ht="19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spans="1:28" ht="19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spans="1:28" ht="19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spans="1:28" ht="19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spans="1:28" ht="19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spans="1:28" ht="19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spans="1:28" ht="19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spans="1:28" ht="19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spans="1:28" ht="19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spans="1:28" ht="19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spans="1:28" ht="19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spans="1:28" ht="19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spans="1:28" ht="19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spans="1:28" ht="19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spans="1:28" ht="19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spans="1:28" ht="19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spans="1:28" ht="19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spans="1:28" ht="19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spans="1:28" ht="19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spans="1:28" ht="19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spans="1:28" ht="19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spans="1:28" ht="19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spans="1:28" ht="19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spans="1:28" ht="19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spans="1:28" ht="19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spans="1:28" ht="19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spans="1:28" ht="19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spans="1:28" ht="19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spans="1:28" ht="19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spans="1:28" ht="19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spans="1:28" ht="19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spans="1:28" ht="19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spans="1:28" ht="19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spans="1:28" ht="19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spans="1:28" ht="19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spans="1:28" ht="19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spans="1:28" ht="19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spans="1:28" ht="19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spans="1:28" ht="19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spans="1:28" ht="19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spans="1:28" ht="19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spans="1:28" ht="19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spans="1:28" ht="19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spans="1:28" ht="19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spans="1:28" ht="19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spans="1:28" ht="19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spans="1:28" ht="19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spans="1:28" ht="19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spans="1:28" ht="19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spans="1:28" ht="19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spans="1:28" ht="19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spans="1:28" ht="19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spans="1:28" ht="19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spans="1:28" ht="19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spans="1:28" ht="19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spans="1:28" ht="19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spans="1:28" ht="19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spans="1:28" ht="19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spans="1:28" ht="19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spans="1:28" ht="19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spans="1:28" ht="19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spans="1:28" ht="19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spans="1:28" ht="19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spans="1:28" ht="19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spans="1:28" ht="19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spans="1:28" ht="19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spans="1:28" ht="19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spans="1:28" ht="19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spans="1:28" ht="19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spans="1:28" ht="19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spans="1:28" ht="19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spans="1:28" ht="19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spans="1:28" ht="19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spans="1:28" ht="19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spans="1:28" ht="19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spans="1:28" ht="19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spans="1:28" ht="19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spans="1:28" ht="19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spans="1:28" ht="19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spans="1:28" ht="19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spans="1:28" ht="19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spans="1:28" ht="19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spans="1:28" ht="19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spans="1:28" ht="19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spans="1:28" ht="19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spans="1:28" ht="19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spans="1:28" ht="19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spans="1:28" ht="19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spans="1:28" ht="19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spans="1:28" ht="19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spans="1:28" ht="19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spans="1:28" ht="19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spans="1:28" ht="19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spans="1:28" ht="19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spans="1:28" ht="19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spans="1:28" ht="19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spans="1:28" ht="19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spans="1:28" ht="19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spans="1:28" ht="19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spans="1:28" ht="19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spans="1:28" ht="19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spans="1:28" ht="19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:28" ht="19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spans="1:28" ht="19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spans="1:28" ht="19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spans="1:28" ht="19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spans="1:28" ht="19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spans="1:28" ht="19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spans="1:28" ht="19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spans="1:28" ht="19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spans="1:28" ht="19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spans="1:28" ht="19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spans="1:28" ht="19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spans="1:28" ht="19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spans="1:28" ht="19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spans="1:28" ht="19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spans="1:28" ht="19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spans="1:28" ht="19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spans="1:28" ht="19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spans="1:28" ht="19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spans="1:28" ht="19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spans="1:28" ht="19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spans="1:28" ht="19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spans="1:28" ht="19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spans="1:28" ht="19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spans="1:28" ht="19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spans="1:28" ht="19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spans="1:28" ht="19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spans="1:28" ht="19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spans="1:28" ht="19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spans="1:28" ht="19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spans="1:28" ht="19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spans="1:28" ht="19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spans="1:28" ht="19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spans="1:28" ht="19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spans="1:28" ht="19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spans="1:28" ht="19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spans="1:28" ht="19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spans="1:28" ht="19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spans="1:28" ht="19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spans="1:28" ht="19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spans="1:28" ht="19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spans="1:28" ht="19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spans="1:28" ht="19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spans="1:28" ht="19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spans="1:28" ht="19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spans="1:28" ht="19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spans="1:28" ht="19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spans="1:28" ht="19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spans="1:28" ht="19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spans="1:28" ht="19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spans="1:28" ht="19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spans="1:28" ht="19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spans="1:28" ht="19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spans="1:28" ht="19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spans="1:28" ht="19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spans="1:28" ht="19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spans="1:28" ht="19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spans="1:28" ht="19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spans="1:28" ht="19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spans="1:28" ht="19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spans="1:28" ht="19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spans="1:28" ht="19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spans="1:28" ht="19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spans="1:28" ht="19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spans="1:28" ht="19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spans="1:28" ht="19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spans="1:28" ht="19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spans="1:28" ht="19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spans="1:28" ht="19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spans="1:28" ht="19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spans="1:28" ht="19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spans="1:28" ht="19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spans="1:28" ht="19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spans="1:28" ht="19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spans="1:28" ht="19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spans="1:28" ht="19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spans="1:28" ht="19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spans="1:28" ht="19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spans="1:28" ht="19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spans="1:28" ht="19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spans="1:28" ht="19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spans="1:28" ht="19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spans="1:28" ht="19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spans="1:28" ht="19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spans="1:28" ht="19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spans="1:28" ht="19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spans="1:28" ht="19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spans="1:28" ht="19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spans="1:28" ht="19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spans="1:28" ht="19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spans="1:28" ht="19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spans="1:28" ht="19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spans="1:28" ht="19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spans="1:28" ht="19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spans="1:28" ht="19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spans="1:28" ht="19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spans="1:28" ht="19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spans="1:28" ht="19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spans="1:28" ht="19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spans="1:28" ht="19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spans="1:28" ht="19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spans="1:28" ht="19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spans="1:28" ht="19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spans="1:28" ht="19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spans="1:28" ht="19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spans="1:28" ht="19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spans="1:28" ht="19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spans="1:28" ht="19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spans="1:28" ht="19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spans="1:28" ht="19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spans="1:28" ht="19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spans="1:28" ht="19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spans="1:28" ht="19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spans="1:28" ht="19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spans="1:28" ht="19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spans="1:28" ht="19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spans="1:28" ht="19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spans="1:28" ht="19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spans="1:28" ht="19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spans="1:28" ht="19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spans="1:28" ht="19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spans="1:28" ht="19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spans="1:28" ht="19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spans="1:28" ht="19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spans="1:28" ht="19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spans="1:28" ht="19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spans="1:28" ht="19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spans="1:28" ht="19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spans="1:28" ht="19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spans="1:28" ht="19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spans="1:28" ht="19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spans="1:28" ht="19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spans="1:28" ht="19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spans="1:28" ht="19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spans="1:28" ht="19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spans="1:28" ht="19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spans="1:28" ht="19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spans="1:28" ht="19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spans="1:28" ht="19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spans="1:28" ht="19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spans="1:28" ht="19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spans="1:28" ht="19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spans="1:28" ht="19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spans="1:28" ht="19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spans="1:28" ht="19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spans="1:28" ht="19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spans="1:28" ht="19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spans="1:28" ht="19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spans="1:28" ht="19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spans="1:28" ht="19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spans="1:28" ht="19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spans="1:28" ht="19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spans="1:28" ht="19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spans="1:28" ht="19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spans="1:28" ht="19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spans="1:28" ht="19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spans="1:28" ht="19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spans="1:28" ht="19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spans="1:28" ht="19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spans="1:28" ht="19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spans="1:28" ht="19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spans="1:28" ht="19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spans="1:28" ht="19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spans="1:28" ht="19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spans="1:28" ht="19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spans="1:28" ht="19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spans="1:28" ht="19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spans="1:28" ht="19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spans="1:28" ht="19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spans="1:28" ht="19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spans="1:28" ht="19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spans="1:28" ht="19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spans="1:28" ht="19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spans="1:28" ht="19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spans="1:28" ht="19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spans="1:28" ht="19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spans="1:28" ht="19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spans="1:28" ht="19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spans="1:28" ht="19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spans="1:28" ht="19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spans="1:28" ht="19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spans="1:28" ht="19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spans="1:28" ht="19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spans="1:28" ht="19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spans="1:28" ht="19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spans="1:28" ht="19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spans="1:28" ht="19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spans="1:28" ht="19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spans="1:28" ht="19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spans="1:28" ht="19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spans="1:28" ht="19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spans="1:28" ht="19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spans="1:28" ht="19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spans="1:28" ht="19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spans="1:28" ht="19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spans="1:28" ht="19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spans="1:28" ht="19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spans="1:28" ht="19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spans="1:28" ht="19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spans="1:28" ht="19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spans="1:28" ht="19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spans="1:28" ht="19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spans="1:28" ht="19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spans="1:28" ht="19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spans="1:28" ht="19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spans="1:28" ht="19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spans="1:28" ht="19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spans="1:28" ht="19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spans="1:28" ht="19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spans="1:28" ht="19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spans="1:28" ht="19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spans="1:28" ht="19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spans="1:28" ht="19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spans="1:28" ht="19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spans="1:28" ht="19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spans="1:28" ht="19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spans="1:28" ht="19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spans="1:28" ht="19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spans="1:28" ht="19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spans="1:28" ht="19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spans="1:28" ht="19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spans="1:28" ht="19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spans="1:28" ht="19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spans="1:28" ht="19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spans="1:28" ht="19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spans="1:28" ht="19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spans="1:28" ht="19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spans="1:28" ht="19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spans="1:28" ht="19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spans="1:28" ht="19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spans="1:28" ht="19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spans="1:28" ht="19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spans="1:28" ht="19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spans="1:28" ht="19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spans="1:28" ht="19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spans="1:28" ht="19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spans="1:28" ht="19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spans="1:28" ht="19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spans="1:28" ht="19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spans="1:28" ht="19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spans="1:28" ht="19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spans="1:28" ht="19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spans="1:28" ht="19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spans="1:28" ht="19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spans="1:28" ht="19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spans="1:28" ht="19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spans="1:28" ht="19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spans="1:28" ht="19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spans="1:28" ht="19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spans="1:28" ht="19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spans="1:28" ht="19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spans="1:28" ht="19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spans="1:28" ht="19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spans="1:28" ht="19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spans="1:28" ht="19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spans="1:28" ht="19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spans="1:28" ht="19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spans="1:28" ht="19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spans="1:28" ht="19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spans="1:28" ht="19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spans="1:28" ht="19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spans="1:28" ht="19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spans="1:28" ht="19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spans="1:28" ht="19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spans="1:28" ht="19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spans="1:28" ht="19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spans="1:28" ht="19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spans="1:28" ht="19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spans="1:28" ht="19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spans="1:28" ht="19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spans="1:28" ht="19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spans="1:28" ht="19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spans="1:28" ht="19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spans="1:28" ht="19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spans="1:28" ht="19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spans="1:28" ht="19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spans="1:28" ht="19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spans="1:28" ht="19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spans="1:28" ht="19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spans="1:28" ht="19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spans="1:28" ht="19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spans="1:28" ht="19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spans="1:28" ht="19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spans="1:28" ht="19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spans="1:28" ht="19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spans="1:28" ht="19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spans="1:28" ht="19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spans="1:28" ht="19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spans="1:28" ht="19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spans="1:28" ht="19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spans="1:28" ht="19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spans="1:28" ht="19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spans="1:28" ht="19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spans="1:28" ht="19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spans="1:28" ht="19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spans="1:28" ht="19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spans="1:28" ht="19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spans="1:28" ht="19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spans="1:28" ht="19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spans="1:28" ht="19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spans="1:28" ht="19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spans="1:28" ht="19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spans="1:28" ht="19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spans="1:28" ht="19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spans="1:28" ht="19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spans="1:28" ht="19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spans="1:28" ht="19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spans="1:28" ht="19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spans="1:28" ht="19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spans="1:28" ht="19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spans="1:28" ht="19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spans="1:28" ht="19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spans="1:28" ht="19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spans="1:28" ht="19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spans="1:28" ht="19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spans="1:28" ht="19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spans="1:28" ht="19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spans="1:28" ht="19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spans="1:28" ht="19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spans="1:28" ht="19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spans="1:28" ht="19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spans="1:28" ht="19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spans="1:28" ht="19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spans="1:28" ht="19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spans="1:28" ht="19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spans="1:28" ht="19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spans="1:28" ht="19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spans="1:28" ht="19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spans="1:28" ht="19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spans="1:28" ht="19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spans="1:28" ht="19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spans="1:28" ht="19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spans="1:28" ht="19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spans="1:28" ht="19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spans="1:28" ht="19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spans="1:28" ht="19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spans="1:28" ht="19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spans="1:28" ht="19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spans="1:28" ht="19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spans="1:28" ht="19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spans="1:28" ht="19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spans="1:28" ht="19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spans="1:28" ht="19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spans="1:28" ht="19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spans="1:28" ht="19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spans="1:28" ht="19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spans="1:28" ht="19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spans="1:28" ht="19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spans="1:28" ht="19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spans="1:28" ht="19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spans="1:28" ht="19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spans="1:28" ht="19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spans="1:28" ht="19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spans="1:28" ht="19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spans="1:28" ht="19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spans="1:28" ht="19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spans="1:28" ht="19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spans="1:28" ht="19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spans="1:28" ht="19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spans="1:28" ht="19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spans="1:28" ht="19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spans="1:28" ht="19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spans="1:28" ht="19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spans="1:28" ht="19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spans="1:28" ht="19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spans="1:28" ht="19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spans="1:28" ht="19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spans="1:28" ht="19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spans="1:28" ht="19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spans="1:28" ht="19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spans="1:28" ht="19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spans="1:28" ht="19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spans="1:28" ht="19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spans="1:28" ht="19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spans="1:28" ht="19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spans="1:28" ht="19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spans="1:28" ht="19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spans="1:28" ht="19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spans="1:28" ht="19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spans="1:28" ht="19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spans="1:28" ht="19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spans="1:28" ht="19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spans="1:28" ht="19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spans="1:28" ht="19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spans="1:28" ht="19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spans="1:28" ht="19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spans="1:28" ht="19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spans="1:28" ht="19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spans="1:28" ht="19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spans="1:28" ht="19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spans="1:28" ht="19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spans="1:28" ht="19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spans="1:28" ht="19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spans="1:28" ht="19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spans="1:28" ht="19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spans="1:28" ht="19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spans="1:28" ht="19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spans="1:28" ht="19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spans="1:28" ht="19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spans="1:28" ht="19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spans="1:28" ht="19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spans="1:28" ht="19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spans="1:28" ht="19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spans="1:28" ht="19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spans="1:28" ht="19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spans="1:28" ht="19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spans="1:28" ht="19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spans="1:28" ht="19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spans="1:28" ht="19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spans="1:28" ht="19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spans="1:28" ht="19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spans="1:28" ht="19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spans="1:28" ht="19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spans="1:28" ht="19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spans="1:28" ht="19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spans="1:28" ht="19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spans="1:28" ht="19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spans="1:28" ht="19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spans="1:28" ht="19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spans="1:28" ht="19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spans="1:28" ht="19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spans="1:28" ht="19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spans="1:28" ht="19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spans="1:28" ht="19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spans="1:28" ht="19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spans="1:28" ht="19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spans="1:28" ht="19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spans="1:28" ht="19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spans="1:28" ht="19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spans="1:28" ht="19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spans="1:28" ht="19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spans="1:28" ht="19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spans="1:28" ht="19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spans="1:28" ht="19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spans="1:28" ht="19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spans="1:28" ht="19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spans="1:28" ht="19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spans="1:28" ht="19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spans="1:28" ht="19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spans="1:28" ht="19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spans="1:28" ht="19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spans="1:28" ht="19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spans="1:28" ht="19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spans="1:28" ht="19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spans="1:28" ht="19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spans="1:28" ht="19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spans="1:28" ht="19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spans="1:28" ht="19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spans="1:28" ht="19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spans="1:28" ht="19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spans="1:28" ht="19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spans="1:28" ht="19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spans="1:28" ht="19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spans="1:28" ht="19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spans="1:28" ht="19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spans="1:28" ht="19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spans="1:28" ht="19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spans="1:28" ht="19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spans="1:28" ht="19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spans="1:28" ht="19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spans="1:28" ht="19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spans="1:28" ht="19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spans="1:28" ht="19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spans="1:28" ht="19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spans="1:28" ht="19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spans="1:28" ht="19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spans="1:28" ht="19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spans="1:28" ht="19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spans="1:28" ht="19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spans="1:28" ht="19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spans="1:28" ht="19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spans="1:28" ht="19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spans="1:28" ht="19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spans="1:28" ht="19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spans="1:28" ht="19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spans="1:28" ht="19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spans="1:28" ht="19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spans="1:28" ht="19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spans="1:28" ht="19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spans="1:28" ht="19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spans="1:28" ht="19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spans="1:28" ht="19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spans="1:28" ht="19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spans="1:28" ht="19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spans="1:28" ht="19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spans="1:28" ht="19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spans="1:28" ht="19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spans="1:28" ht="19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spans="1:28" ht="19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spans="1:28" ht="19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spans="1:28" ht="19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spans="1:28" ht="19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spans="1:28" ht="19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spans="1:28" ht="19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Chuszno</cp:lastModifiedBy>
  <dcterms:created xsi:type="dcterms:W3CDTF">2026-01-13T13:04:19Z</dcterms:created>
  <dcterms:modified xsi:type="dcterms:W3CDTF">2026-01-13T16:01:29Z</dcterms:modified>
</cp:coreProperties>
</file>