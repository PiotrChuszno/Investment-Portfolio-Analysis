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piotrchuszno/Desktop/"/>
    </mc:Choice>
  </mc:AlternateContent>
  <xr:revisionPtr revIDLastSave="0" documentId="13_ncr:1_{71B83698-BCE5-0A41-B48A-12CB2CAF2B63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Modelowy skład portfela" sheetId="6" r:id="rId1"/>
    <sheet name="Arkusz1" sheetId="7" r:id="rId2"/>
  </sheets>
  <definedNames>
    <definedName name="_xlnm._FilterDatabase" localSheetId="0" hidden="1">'Modelowy skład portfela'!$A$8:$J$65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6" l="1"/>
  <c r="B20" i="6"/>
  <c r="B51" i="6"/>
  <c r="B31" i="6"/>
  <c r="B46" i="6"/>
  <c r="B47" i="6"/>
  <c r="B14" i="6"/>
  <c r="B43" i="6"/>
  <c r="B30" i="6"/>
  <c r="B35" i="6"/>
  <c r="B10" i="6"/>
  <c r="B44" i="6"/>
  <c r="B22" i="6"/>
  <c r="B23" i="6"/>
  <c r="B38" i="6"/>
  <c r="B12" i="6"/>
  <c r="B45" i="6"/>
  <c r="B27" i="6"/>
  <c r="C5" i="6"/>
  <c r="G30" i="6" s="1"/>
  <c r="B15" i="6"/>
  <c r="B11" i="6"/>
  <c r="B37" i="6"/>
  <c r="B50" i="6"/>
  <c r="B48" i="6"/>
  <c r="B32" i="6"/>
  <c r="B40" i="6"/>
  <c r="B49" i="6"/>
  <c r="B42" i="6"/>
  <c r="B13" i="6"/>
  <c r="B21" i="6"/>
  <c r="B16" i="6"/>
  <c r="B29" i="6"/>
  <c r="B28" i="6"/>
  <c r="B18" i="6"/>
  <c r="B9" i="6"/>
  <c r="B19" i="6"/>
  <c r="B41" i="6"/>
  <c r="B33" i="6"/>
  <c r="B36" i="6"/>
  <c r="B26" i="6"/>
  <c r="B17" i="6"/>
  <c r="B25" i="6"/>
  <c r="B24" i="6"/>
  <c r="G10" i="6" l="1"/>
  <c r="G47" i="6"/>
  <c r="I47" i="6" s="1"/>
  <c r="G38" i="6"/>
  <c r="G34" i="6"/>
  <c r="G22" i="6"/>
  <c r="G43" i="6"/>
  <c r="G12" i="6"/>
  <c r="I12" i="6" s="1"/>
  <c r="I30" i="6"/>
  <c r="J30" i="6"/>
  <c r="G51" i="6"/>
  <c r="G35" i="6"/>
  <c r="I35" i="6" s="1"/>
  <c r="G46" i="6"/>
  <c r="G45" i="6"/>
  <c r="G44" i="6"/>
  <c r="G20" i="6"/>
  <c r="I20" i="6" s="1"/>
  <c r="G14" i="6"/>
  <c r="I14" i="6" s="1"/>
  <c r="G27" i="6"/>
  <c r="G23" i="6"/>
  <c r="J47" i="6"/>
  <c r="G31" i="6"/>
  <c r="J31" i="6" s="1"/>
  <c r="G39" i="6"/>
  <c r="J38" i="6"/>
  <c r="I38" i="6"/>
  <c r="G24" i="6"/>
  <c r="I24" i="6" s="1"/>
  <c r="G49" i="6"/>
  <c r="J49" i="6" s="1"/>
  <c r="G41" i="6"/>
  <c r="J41" i="6" s="1"/>
  <c r="G33" i="6"/>
  <c r="J33" i="6" s="1"/>
  <c r="G25" i="6"/>
  <c r="J25" i="6" s="1"/>
  <c r="G17" i="6"/>
  <c r="J17" i="6" s="1"/>
  <c r="G40" i="6"/>
  <c r="J40" i="6" s="1"/>
  <c r="G15" i="6"/>
  <c r="G37" i="6"/>
  <c r="J37" i="6" s="1"/>
  <c r="G21" i="6"/>
  <c r="J21" i="6" s="1"/>
  <c r="G13" i="6"/>
  <c r="J13" i="6" s="1"/>
  <c r="G9" i="6"/>
  <c r="J9" i="6" s="1"/>
  <c r="G36" i="6"/>
  <c r="J36" i="6" s="1"/>
  <c r="G28" i="6"/>
  <c r="J28" i="6" s="1"/>
  <c r="G48" i="6"/>
  <c r="J48" i="6" s="1"/>
  <c r="G16" i="6"/>
  <c r="J16" i="6" s="1"/>
  <c r="G29" i="6"/>
  <c r="J29" i="6" s="1"/>
  <c r="G19" i="6"/>
  <c r="J19" i="6" s="1"/>
  <c r="G11" i="6"/>
  <c r="J11" i="6" s="1"/>
  <c r="G32" i="6"/>
  <c r="I32" i="6" s="1"/>
  <c r="G50" i="6"/>
  <c r="J50" i="6" s="1"/>
  <c r="G42" i="6"/>
  <c r="I42" i="6" s="1"/>
  <c r="G26" i="6"/>
  <c r="J26" i="6" s="1"/>
  <c r="G18" i="6"/>
  <c r="J18" i="6" s="1"/>
  <c r="J10" i="6" l="1"/>
  <c r="I10" i="6"/>
  <c r="J14" i="6"/>
  <c r="I11" i="6"/>
  <c r="J12" i="6"/>
  <c r="J43" i="6"/>
  <c r="I43" i="6"/>
  <c r="J35" i="6"/>
  <c r="I41" i="6"/>
  <c r="J22" i="6"/>
  <c r="I22" i="6"/>
  <c r="I26" i="6"/>
  <c r="J34" i="6"/>
  <c r="I34" i="6"/>
  <c r="I39" i="6"/>
  <c r="J39" i="6"/>
  <c r="I44" i="6"/>
  <c r="J44" i="6"/>
  <c r="J20" i="6"/>
  <c r="J23" i="6"/>
  <c r="I23" i="6"/>
  <c r="J24" i="6"/>
  <c r="J51" i="6"/>
  <c r="I51" i="6"/>
  <c r="I45" i="6"/>
  <c r="J45" i="6"/>
  <c r="J46" i="6"/>
  <c r="I46" i="6"/>
  <c r="I31" i="6"/>
  <c r="J27" i="6"/>
  <c r="I27" i="6"/>
  <c r="I36" i="6"/>
  <c r="J32" i="6"/>
  <c r="I18" i="6"/>
  <c r="I17" i="6"/>
  <c r="I37" i="6"/>
  <c r="I33" i="6"/>
  <c r="I13" i="6"/>
  <c r="I29" i="6"/>
  <c r="I49" i="6"/>
  <c r="I48" i="6"/>
  <c r="I16" i="6"/>
  <c r="I25" i="6"/>
  <c r="I9" i="6"/>
  <c r="I21" i="6"/>
  <c r="I19" i="6"/>
  <c r="I40" i="6"/>
  <c r="I50" i="6"/>
  <c r="J42" i="6"/>
  <c r="I28" i="6"/>
  <c r="J15" i="6"/>
  <c r="I15" i="6"/>
  <c r="H15" i="6"/>
  <c r="H9" i="6"/>
  <c r="G56" i="6"/>
  <c r="H42" i="6"/>
  <c r="H12" i="6"/>
  <c r="H45" i="6"/>
  <c r="H24" i="6"/>
  <c r="H43" i="6"/>
  <c r="H34" i="6"/>
  <c r="H31" i="6"/>
  <c r="H51" i="6"/>
  <c r="H22" i="6"/>
  <c r="H33" i="6"/>
  <c r="H11" i="6"/>
  <c r="H14" i="6"/>
  <c r="H21" i="6"/>
  <c r="H29" i="6"/>
  <c r="H48" i="6"/>
  <c r="H35" i="6"/>
  <c r="H36" i="6"/>
  <c r="H44" i="6"/>
  <c r="H28" i="6"/>
  <c r="H10" i="6"/>
  <c r="H39" i="6"/>
  <c r="H37" i="6"/>
  <c r="H40" i="6"/>
  <c r="H20" i="6"/>
  <c r="H17" i="6"/>
  <c r="H32" i="6"/>
  <c r="H13" i="6"/>
  <c r="H47" i="6"/>
  <c r="H19" i="6"/>
  <c r="H49" i="6"/>
  <c r="H18" i="6"/>
  <c r="H50" i="6"/>
  <c r="H46" i="6"/>
  <c r="H16" i="6"/>
  <c r="H23" i="6"/>
  <c r="H41" i="6"/>
  <c r="H30" i="6"/>
  <c r="H25" i="6"/>
  <c r="H38" i="6"/>
  <c r="H27" i="6"/>
  <c r="G55" i="6"/>
  <c r="H26" i="6"/>
</calcChain>
</file>

<file path=xl/sharedStrings.xml><?xml version="1.0" encoding="utf-8"?>
<sst xmlns="http://schemas.openxmlformats.org/spreadsheetml/2006/main" count="104" uniqueCount="87">
  <si>
    <t>Fiserv</t>
  </si>
  <si>
    <t>ODD</t>
  </si>
  <si>
    <t>DECK</t>
  </si>
  <si>
    <t>FTNT</t>
  </si>
  <si>
    <t>APP</t>
  </si>
  <si>
    <t>DUOL</t>
  </si>
  <si>
    <t>MELI</t>
  </si>
  <si>
    <t>INTU</t>
  </si>
  <si>
    <t>EQT</t>
  </si>
  <si>
    <t>CMCSA</t>
  </si>
  <si>
    <t>KR</t>
  </si>
  <si>
    <t>Ticker:</t>
  </si>
  <si>
    <t>CPRX</t>
  </si>
  <si>
    <t>ALL</t>
  </si>
  <si>
    <t>GOOGL</t>
  </si>
  <si>
    <t>CART</t>
  </si>
  <si>
    <t>HRMY</t>
  </si>
  <si>
    <t>PDD</t>
  </si>
  <si>
    <t>BTI</t>
  </si>
  <si>
    <t>AMZN</t>
  </si>
  <si>
    <t>PG</t>
  </si>
  <si>
    <t>SPRY</t>
  </si>
  <si>
    <t>OPRA</t>
  </si>
  <si>
    <t>OXY</t>
  </si>
  <si>
    <t>PINS</t>
  </si>
  <si>
    <t>META</t>
  </si>
  <si>
    <t>SE</t>
  </si>
  <si>
    <t>ETOR</t>
  </si>
  <si>
    <t>ASML</t>
  </si>
  <si>
    <t>XOM</t>
  </si>
  <si>
    <t>GAMB</t>
  </si>
  <si>
    <t>PLMR</t>
  </si>
  <si>
    <t>CRMD</t>
  </si>
  <si>
    <t>UNH</t>
  </si>
  <si>
    <t>KSPI</t>
  </si>
  <si>
    <t>GDRX</t>
  </si>
  <si>
    <t>NVO</t>
  </si>
  <si>
    <t>ZETA</t>
  </si>
  <si>
    <t>ELV</t>
  </si>
  <si>
    <t>CVS</t>
  </si>
  <si>
    <t>CL</t>
  </si>
  <si>
    <t>CRM</t>
  </si>
  <si>
    <t>OSCR</t>
  </si>
  <si>
    <t>UBER</t>
  </si>
  <si>
    <t>FISV</t>
  </si>
  <si>
    <t>-0,03</t>
  </si>
  <si>
    <t>0,17</t>
  </si>
  <si>
    <t>0,25</t>
  </si>
  <si>
    <t>0,19</t>
  </si>
  <si>
    <t>0,09</t>
  </si>
  <si>
    <t>0,28</t>
  </si>
  <si>
    <t>0,03</t>
  </si>
  <si>
    <t>-0,18</t>
  </si>
  <si>
    <t>-0,02</t>
  </si>
  <si>
    <t>-0,04</t>
  </si>
  <si>
    <t>0,23</t>
  </si>
  <si>
    <t>0,08</t>
  </si>
  <si>
    <t>0,18</t>
  </si>
  <si>
    <t>-0,15</t>
  </si>
  <si>
    <t>-0,28</t>
  </si>
  <si>
    <t>-0,20</t>
  </si>
  <si>
    <t>-0,12</t>
  </si>
  <si>
    <t>0,01</t>
  </si>
  <si>
    <t>0,02</t>
  </si>
  <si>
    <t>0,22</t>
  </si>
  <si>
    <t>0,05</t>
  </si>
  <si>
    <t>-0,11</t>
  </si>
  <si>
    <t>0,24</t>
  </si>
  <si>
    <t>0,11</t>
  </si>
  <si>
    <t>-0,08</t>
  </si>
  <si>
    <t>0,10</t>
  </si>
  <si>
    <t>Avg. Portfolio Correlation</t>
  </si>
  <si>
    <t>Total Portfolio Value</t>
  </si>
  <si>
    <t>Position Count</t>
  </si>
  <si>
    <t>Avg. Position Size</t>
  </si>
  <si>
    <t>#</t>
  </si>
  <si>
    <t>Benchmark Volatility</t>
  </si>
  <si>
    <t>Asset Name</t>
  </si>
  <si>
    <t>Ann. Volatility (σ)</t>
  </si>
  <si>
    <t>Price ($)</t>
  </si>
  <si>
    <t>Allocated Capital ($)</t>
  </si>
  <si>
    <t>Target Weight</t>
  </si>
  <si>
    <t>Share Count</t>
  </si>
  <si>
    <t>Risk Contribution</t>
  </si>
  <si>
    <t>Data Source: Market data (Volatility &amp; Correlation Matrix) sourced from [https://www.portfoliovisualizer.com/asset-correlations]. Volatility is annualized based on daily returns. "Avg. Correlation" is calculated internally as the mean pairwise correlation for each asset.</t>
  </si>
  <si>
    <t>Total Invested</t>
  </si>
  <si>
    <t>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</si>
</sst>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[$$]#,##0"/>
    <numFmt numFmtId="167" formatCode="[$$]#,##0.0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FF9900"/>
      <name val="Arial"/>
      <family val="2"/>
    </font>
    <font>
      <b/>
      <sz val="10"/>
      <color rgb="FFFFFFFF"/>
      <name val="Arial"/>
      <family val="2"/>
    </font>
    <font>
      <u/>
      <sz val="10"/>
      <color theme="1"/>
      <name val="Arial"/>
      <family val="2"/>
    </font>
    <font>
      <sz val="11"/>
      <color rgb="FF000000"/>
      <name val="Roboto"/>
    </font>
    <font>
      <b/>
      <sz val="10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4343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166" fontId="2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4" fontId="2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9" fontId="2" fillId="2" borderId="0" xfId="0" applyNumberFormat="1" applyFont="1" applyFill="1" applyAlignment="1">
      <alignment horizontal="center" wrapText="1"/>
    </xf>
    <xf numFmtId="2" fontId="2" fillId="2" borderId="0" xfId="0" applyNumberFormat="1" applyFont="1" applyFill="1" applyAlignment="1">
      <alignment horizontal="center" wrapText="1"/>
    </xf>
    <xf numFmtId="167" fontId="2" fillId="2" borderId="0" xfId="0" applyNumberFormat="1" applyFont="1" applyFill="1" applyAlignment="1">
      <alignment horizontal="center" wrapText="1"/>
    </xf>
    <xf numFmtId="166" fontId="2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165" fontId="2" fillId="2" borderId="0" xfId="0" applyNumberFormat="1" applyFont="1" applyFill="1" applyAlignment="1">
      <alignment horizontal="center" wrapText="1"/>
    </xf>
    <xf numFmtId="2" fontId="1" fillId="2" borderId="0" xfId="0" applyNumberFormat="1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9" fontId="1" fillId="2" borderId="0" xfId="0" applyNumberFormat="1" applyFont="1" applyFill="1" applyAlignment="1">
      <alignment wrapText="1"/>
    </xf>
    <xf numFmtId="167" fontId="1" fillId="2" borderId="0" xfId="0" applyNumberFormat="1" applyFont="1" applyFill="1" applyAlignment="1">
      <alignment wrapText="1"/>
    </xf>
    <xf numFmtId="1" fontId="1" fillId="2" borderId="0" xfId="0" applyNumberFormat="1" applyFont="1" applyFill="1" applyAlignment="1">
      <alignment wrapText="1"/>
    </xf>
    <xf numFmtId="0" fontId="3" fillId="5" borderId="0" xfId="0" applyFont="1" applyFill="1" applyAlignment="1">
      <alignment wrapText="1"/>
    </xf>
    <xf numFmtId="10" fontId="2" fillId="2" borderId="0" xfId="0" applyNumberFormat="1" applyFont="1" applyFill="1" applyAlignment="1">
      <alignment wrapText="1"/>
    </xf>
    <xf numFmtId="167" fontId="2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6" fillId="6" borderId="0" xfId="0" applyFont="1" applyFill="1"/>
    <xf numFmtId="0" fontId="0" fillId="7" borderId="0" xfId="0" applyFill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pl-PL" sz="1600" b="1" i="0" u="none" strike="noStrike" kern="1200" cap="none" spc="100" normalizeH="0" baseline="0" noProof="0">
                <a:ln>
                  <a:noFill/>
                </a:ln>
                <a:solidFill>
                  <a:srgbClr val="FFFFFF">
                    <a:lumMod val="95000"/>
                  </a:srgb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Arial"/>
                <a:cs typeface="Arial"/>
              </a:rPr>
              <a:t>Modelowy skład portfela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'Modelowy skład portfela'!$G$8</c:f>
              <c:strCache>
                <c:ptCount val="1"/>
                <c:pt idx="0">
                  <c:v>Allocated Capital ($)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09-C54A-A47A-17797CE8388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09-C54A-A47A-17797CE8388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09-C54A-A47A-17797CE8388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09-C54A-A47A-17797CE8388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809-C54A-A47A-17797CE8388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809-C54A-A47A-17797CE8388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809-C54A-A47A-17797CE8388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809-C54A-A47A-17797CE8388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809-C54A-A47A-17797CE8388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809-C54A-A47A-17797CE8388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809-C54A-A47A-17797CE8388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809-C54A-A47A-17797CE8388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809-C54A-A47A-17797CE83887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809-C54A-A47A-17797CE83887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809-C54A-A47A-17797CE83887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809-C54A-A47A-17797CE83887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809-C54A-A47A-17797CE83887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809-C54A-A47A-17797CE83887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809-C54A-A47A-17797CE83887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809-C54A-A47A-17797CE83887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809-C54A-A47A-17797CE83887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809-C54A-A47A-17797CE83887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809-C54A-A47A-17797CE83887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809-C54A-A47A-17797CE83887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809-C54A-A47A-17797CE83887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809-C54A-A47A-17797CE83887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809-C54A-A47A-17797CE83887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809-C54A-A47A-17797CE83887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809-C54A-A47A-17797CE83887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809-C54A-A47A-17797CE83887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809-C54A-A47A-17797CE83887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809-C54A-A47A-17797CE83887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809-C54A-A47A-17797CE83887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809-C54A-A47A-17797CE83887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809-C54A-A47A-17797CE83887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809-C54A-A47A-17797CE83887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809-C54A-A47A-17797CE83887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809-C54A-A47A-17797CE83887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809-C54A-A47A-17797CE83887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809-C54A-A47A-17797CE83887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809-C54A-A47A-17797CE83887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809-C54A-A47A-17797CE83887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809-C54A-A47A-17797CE838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'Modelowy skład portfela'!$E$9:$E$51</c:f>
              <c:strCache>
                <c:ptCount val="43"/>
                <c:pt idx="0">
                  <c:v>AMZN</c:v>
                </c:pt>
                <c:pt idx="1">
                  <c:v>UNH</c:v>
                </c:pt>
                <c:pt idx="2">
                  <c:v>MELI</c:v>
                </c:pt>
                <c:pt idx="3">
                  <c:v>NVO</c:v>
                </c:pt>
                <c:pt idx="4">
                  <c:v>XOM</c:v>
                </c:pt>
                <c:pt idx="5">
                  <c:v>ASML</c:v>
                </c:pt>
                <c:pt idx="6">
                  <c:v>UBER</c:v>
                </c:pt>
                <c:pt idx="7">
                  <c:v>OXY</c:v>
                </c:pt>
                <c:pt idx="8">
                  <c:v>GOOGL</c:v>
                </c:pt>
                <c:pt idx="9">
                  <c:v>FTNT</c:v>
                </c:pt>
                <c:pt idx="10">
                  <c:v>INTU</c:v>
                </c:pt>
                <c:pt idx="11">
                  <c:v>CRM</c:v>
                </c:pt>
                <c:pt idx="12">
                  <c:v>META</c:v>
                </c:pt>
                <c:pt idx="13">
                  <c:v>GDRX</c:v>
                </c:pt>
                <c:pt idx="14">
                  <c:v>APP</c:v>
                </c:pt>
                <c:pt idx="15">
                  <c:v>CPRX</c:v>
                </c:pt>
                <c:pt idx="16">
                  <c:v>ALL</c:v>
                </c:pt>
                <c:pt idx="17">
                  <c:v>DUOL</c:v>
                </c:pt>
                <c:pt idx="18">
                  <c:v>OSCR</c:v>
                </c:pt>
                <c:pt idx="19">
                  <c:v>PG</c:v>
                </c:pt>
                <c:pt idx="20">
                  <c:v>ODD</c:v>
                </c:pt>
                <c:pt idx="21">
                  <c:v>ELV</c:v>
                </c:pt>
                <c:pt idx="22">
                  <c:v>PINS</c:v>
                </c:pt>
                <c:pt idx="23">
                  <c:v>KR</c:v>
                </c:pt>
                <c:pt idx="24">
                  <c:v>PDD</c:v>
                </c:pt>
                <c:pt idx="25">
                  <c:v>FISV</c:v>
                </c:pt>
                <c:pt idx="26">
                  <c:v>ETOR</c:v>
                </c:pt>
                <c:pt idx="27">
                  <c:v>CART</c:v>
                </c:pt>
                <c:pt idx="28">
                  <c:v>CMCSA</c:v>
                </c:pt>
                <c:pt idx="29">
                  <c:v>CRMD</c:v>
                </c:pt>
                <c:pt idx="30">
                  <c:v>SE</c:v>
                </c:pt>
                <c:pt idx="31">
                  <c:v>EQT</c:v>
                </c:pt>
                <c:pt idx="32">
                  <c:v>BTI</c:v>
                </c:pt>
                <c:pt idx="33">
                  <c:v>GAMB</c:v>
                </c:pt>
                <c:pt idx="34">
                  <c:v>ZETA</c:v>
                </c:pt>
                <c:pt idx="35">
                  <c:v>OPRA</c:v>
                </c:pt>
                <c:pt idx="36">
                  <c:v>SPRY</c:v>
                </c:pt>
                <c:pt idx="37">
                  <c:v>HRMY</c:v>
                </c:pt>
                <c:pt idx="38">
                  <c:v>DECK</c:v>
                </c:pt>
                <c:pt idx="39">
                  <c:v>CVS</c:v>
                </c:pt>
                <c:pt idx="40">
                  <c:v>PLMR</c:v>
                </c:pt>
                <c:pt idx="41">
                  <c:v>CL</c:v>
                </c:pt>
                <c:pt idx="42">
                  <c:v>KSPI</c:v>
                </c:pt>
              </c:strCache>
            </c:strRef>
          </c:cat>
          <c:val>
            <c:numRef>
              <c:f>'Modelowy skład portfela'!$G$9:$G$51</c:f>
              <c:numCache>
                <c:formatCode>[$$]#,##0</c:formatCode>
                <c:ptCount val="43"/>
                <c:pt idx="0">
                  <c:v>38403.995771171445</c:v>
                </c:pt>
                <c:pt idx="1">
                  <c:v>14683.130903300342</c:v>
                </c:pt>
                <c:pt idx="2">
                  <c:v>33375.847806134007</c:v>
                </c:pt>
                <c:pt idx="3">
                  <c:v>12384.474525507436</c:v>
                </c:pt>
                <c:pt idx="4">
                  <c:v>100369.12897949258</c:v>
                </c:pt>
                <c:pt idx="5">
                  <c:v>16376.01578086458</c:v>
                </c:pt>
                <c:pt idx="6">
                  <c:v>23933.050914215193</c:v>
                </c:pt>
                <c:pt idx="7">
                  <c:v>33901.591815342093</c:v>
                </c:pt>
                <c:pt idx="8">
                  <c:v>43214.0272238494</c:v>
                </c:pt>
                <c:pt idx="9">
                  <c:v>25706.121450113158</c:v>
                </c:pt>
                <c:pt idx="10">
                  <c:v>35505.369223377878</c:v>
                </c:pt>
                <c:pt idx="11">
                  <c:v>20010.607909118451</c:v>
                </c:pt>
                <c:pt idx="12">
                  <c:v>27326.346533051761</c:v>
                </c:pt>
                <c:pt idx="13">
                  <c:v>12953.823320953181</c:v>
                </c:pt>
                <c:pt idx="14">
                  <c:v>12529.011373299569</c:v>
                </c:pt>
                <c:pt idx="15">
                  <c:v>41808.097487882827</c:v>
                </c:pt>
                <c:pt idx="16">
                  <c:v>42322.872731494026</c:v>
                </c:pt>
                <c:pt idx="17">
                  <c:v>23014.360434868831</c:v>
                </c:pt>
                <c:pt idx="18">
                  <c:v>6297.921786577178</c:v>
                </c:pt>
                <c:pt idx="19">
                  <c:v>68645.191051334434</c:v>
                </c:pt>
                <c:pt idx="20">
                  <c:v>22197.318944396986</c:v>
                </c:pt>
                <c:pt idx="21">
                  <c:v>15145.856764334363</c:v>
                </c:pt>
                <c:pt idx="22">
                  <c:v>18334.763444882035</c:v>
                </c:pt>
                <c:pt idx="23">
                  <c:v>38929.682871017401</c:v>
                </c:pt>
                <c:pt idx="24">
                  <c:v>31160.288971616985</c:v>
                </c:pt>
                <c:pt idx="25">
                  <c:v>9412.3913971388047</c:v>
                </c:pt>
                <c:pt idx="26">
                  <c:v>14934.926392148494</c:v>
                </c:pt>
                <c:pt idx="27">
                  <c:v>26257.665268933633</c:v>
                </c:pt>
                <c:pt idx="28">
                  <c:v>24392.94327483766</c:v>
                </c:pt>
                <c:pt idx="29">
                  <c:v>12466.702328559157</c:v>
                </c:pt>
                <c:pt idx="30">
                  <c:v>20242.513407628754</c:v>
                </c:pt>
                <c:pt idx="31">
                  <c:v>22520.114000677662</c:v>
                </c:pt>
                <c:pt idx="32">
                  <c:v>31229.511209966884</c:v>
                </c:pt>
                <c:pt idx="33">
                  <c:v>28178.130872121201</c:v>
                </c:pt>
                <c:pt idx="34">
                  <c:v>16158.270536907936</c:v>
                </c:pt>
                <c:pt idx="35">
                  <c:v>13501.55655587945</c:v>
                </c:pt>
                <c:pt idx="36">
                  <c:v>11318.334362870586</c:v>
                </c:pt>
                <c:pt idx="37">
                  <c:v>17100.869134572895</c:v>
                </c:pt>
                <c:pt idx="38">
                  <c:v>16661.040788560396</c:v>
                </c:pt>
                <c:pt idx="39">
                  <c:v>23525.211229510885</c:v>
                </c:pt>
                <c:pt idx="40">
                  <c:v>24142.176727631409</c:v>
                </c:pt>
                <c:pt idx="41">
                  <c:v>51699.281527698993</c:v>
                </c:pt>
                <c:pt idx="42">
                  <c:v>18467.92519772684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4-ED44-B2D9-057ED1CFA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419100</xdr:colOff>
      <xdr:row>9</xdr:row>
      <xdr:rowOff>1059</xdr:rowOff>
    </xdr:from>
    <xdr:ext cx="10486335" cy="8806115"/>
    <xdr:graphicFrame macro="">
      <xdr:nvGraphicFramePr>
        <xdr:cNvPr id="2" name="Chart 1" title="Wykres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P1000"/>
  <sheetViews>
    <sheetView tabSelected="1" zoomScale="117" zoomScaleNormal="230" workbookViewId="0">
      <selection activeCell="D4" sqref="D4"/>
    </sheetView>
  </sheetViews>
  <sheetFormatPr baseColWidth="10" defaultColWidth="12.6640625" defaultRowHeight="15.75" customHeight="1" x14ac:dyDescent="0.15"/>
  <cols>
    <col min="1" max="1" width="10.33203125" style="3" customWidth="1"/>
    <col min="2" max="2" width="31.33203125" style="3" customWidth="1"/>
    <col min="3" max="3" width="13.83203125" style="3" customWidth="1"/>
    <col min="4" max="4" width="15.6640625" style="3" customWidth="1"/>
    <col min="5" max="5" width="10.1640625" style="3" customWidth="1"/>
    <col min="6" max="6" width="14.6640625" style="3" customWidth="1"/>
    <col min="7" max="7" width="16.6640625" style="3" customWidth="1"/>
    <col min="8" max="8" width="13.6640625" style="3" customWidth="1"/>
    <col min="9" max="9" width="12.33203125" style="3" customWidth="1"/>
    <col min="10" max="10" width="13.6640625" style="3" customWidth="1"/>
    <col min="11" max="26" width="12.6640625" style="3"/>
    <col min="27" max="68" width="12.6640625" style="27"/>
    <col min="69" max="16384" width="12.6640625" style="3"/>
  </cols>
  <sheetData>
    <row r="1" spans="1:27" ht="15.75" customHeight="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2"/>
      <c r="B2" s="2"/>
      <c r="C2" s="2"/>
      <c r="D2" s="2"/>
      <c r="E2" s="2"/>
      <c r="F2" s="2"/>
      <c r="G2" s="26" t="s">
        <v>84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2"/>
      <c r="B3" s="4" t="s">
        <v>72</v>
      </c>
      <c r="C3" s="5">
        <v>1400000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2"/>
      <c r="B4" s="4" t="s">
        <v>73</v>
      </c>
      <c r="C4" s="6">
        <v>43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2"/>
      <c r="B5" s="4" t="s">
        <v>74</v>
      </c>
      <c r="C5" s="5">
        <f>C3/C4</f>
        <v>32558.139534883721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2"/>
      <c r="B6" s="4" t="s">
        <v>76</v>
      </c>
      <c r="C6" s="7">
        <v>25</v>
      </c>
      <c r="D6" s="2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6" customHeight="1" x14ac:dyDescent="0.15">
      <c r="A8" s="25" t="s">
        <v>75</v>
      </c>
      <c r="B8" s="25" t="s">
        <v>77</v>
      </c>
      <c r="C8" s="25" t="s">
        <v>78</v>
      </c>
      <c r="D8" s="25" t="s">
        <v>71</v>
      </c>
      <c r="E8" s="25" t="s">
        <v>11</v>
      </c>
      <c r="F8" s="25" t="s">
        <v>79</v>
      </c>
      <c r="G8" s="25" t="s">
        <v>80</v>
      </c>
      <c r="H8" s="25" t="s">
        <v>81</v>
      </c>
      <c r="I8" s="25" t="s">
        <v>82</v>
      </c>
      <c r="J8" s="25" t="s">
        <v>83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9">
        <v>1</v>
      </c>
      <c r="B9" s="8" t="str">
        <f ca="1">IFERROR(__xludf.DUMMYFUNCTION("GOOGLEFINANCE(E19,""name"")"),"Amazon.com Inc")</f>
        <v>Amazon.com Inc</v>
      </c>
      <c r="C9" s="10">
        <v>0.2185</v>
      </c>
      <c r="D9" s="11">
        <v>-0.03</v>
      </c>
      <c r="E9" s="9" t="s">
        <v>19</v>
      </c>
      <c r="F9" s="12">
        <v>242.25</v>
      </c>
      <c r="G9" s="13">
        <f t="shared" ref="G9:G51" si="0">($C$5/(C9/$C$6)/100)/(1+D9)</f>
        <v>38403.995771171445</v>
      </c>
      <c r="H9" s="14">
        <f t="shared" ref="H9:H51" ca="1" si="1">G9/$G$55</f>
        <v>3.3665907692849849E-2</v>
      </c>
      <c r="I9" s="15">
        <f t="shared" ref="I9:I51" si="2">G9/F9</f>
        <v>158.53042629998532</v>
      </c>
      <c r="J9" s="13">
        <f t="shared" ref="J9:J51" si="3">C9*G9</f>
        <v>8391.2730760009599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9">
        <v>2</v>
      </c>
      <c r="B10" s="8" t="str">
        <f ca="1">IFERROR(__xludf.DUMMYFUNCTION("GOOGLEFINANCE(E36,""name"")"),"UnitedHealth Group Inc")</f>
        <v>UnitedHealth Group Inc</v>
      </c>
      <c r="C10" s="10">
        <v>0.4738</v>
      </c>
      <c r="D10" s="11">
        <v>0.17</v>
      </c>
      <c r="E10" s="9" t="s">
        <v>33</v>
      </c>
      <c r="F10" s="12">
        <v>334.25</v>
      </c>
      <c r="G10" s="13">
        <f t="shared" si="0"/>
        <v>14683.130903300342</v>
      </c>
      <c r="H10" s="14">
        <f t="shared" ca="1" si="1"/>
        <v>1.2871601501519015E-2</v>
      </c>
      <c r="I10" s="15">
        <f t="shared" si="2"/>
        <v>43.928589089903788</v>
      </c>
      <c r="J10" s="13">
        <f t="shared" si="3"/>
        <v>6956.8674219837021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9">
        <v>3</v>
      </c>
      <c r="B11" s="8" t="str">
        <f ca="1">IFERROR(__xludf.DUMMYFUNCTION("GOOGLEFINANCE(E48,""name"")"),"MercadoLibre Inc")</f>
        <v>MercadoLibre Inc</v>
      </c>
      <c r="C11" s="10">
        <v>0.1951</v>
      </c>
      <c r="D11" s="11">
        <v>0.25</v>
      </c>
      <c r="E11" s="9" t="s">
        <v>6</v>
      </c>
      <c r="F11" s="12">
        <v>2072.7800000000002</v>
      </c>
      <c r="G11" s="13">
        <f t="shared" si="0"/>
        <v>33375.847806134007</v>
      </c>
      <c r="H11" s="14">
        <f t="shared" ca="1" si="1"/>
        <v>2.9258106841460012E-2</v>
      </c>
      <c r="I11" s="15">
        <f t="shared" si="2"/>
        <v>16.10197310188925</v>
      </c>
      <c r="J11" s="13">
        <f t="shared" si="3"/>
        <v>6511.6279069767443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9">
        <v>4</v>
      </c>
      <c r="B12" s="8" t="str">
        <f ca="1">IFERROR(__xludf.DUMMYFUNCTION("GOOGLEFINANCE(E40,""name"")"),"Novo Nordisk A/S")</f>
        <v>Novo Nordisk A/S</v>
      </c>
      <c r="C12" s="10">
        <v>0.55230000000000001</v>
      </c>
      <c r="D12" s="11">
        <v>0.19</v>
      </c>
      <c r="E12" s="9" t="s">
        <v>36</v>
      </c>
      <c r="F12" s="12">
        <v>59.65</v>
      </c>
      <c r="G12" s="13">
        <f t="shared" si="0"/>
        <v>12384.474525507436</v>
      </c>
      <c r="H12" s="14">
        <f t="shared" ca="1" si="1"/>
        <v>1.0856541561051888E-2</v>
      </c>
      <c r="I12" s="15">
        <f t="shared" si="2"/>
        <v>207.61901970674663</v>
      </c>
      <c r="J12" s="13">
        <f t="shared" si="3"/>
        <v>6839.945280437757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9">
        <v>5</v>
      </c>
      <c r="B13" s="8" t="str">
        <f ca="1">IFERROR(__xludf.DUMMYFUNCTION("GOOGLEFINANCE(E32,""name"")"),"Exxon Mobil Corp")</f>
        <v>Exxon Mobil Corp</v>
      </c>
      <c r="C13" s="10">
        <v>7.4399999999999994E-2</v>
      </c>
      <c r="D13" s="11">
        <v>0.09</v>
      </c>
      <c r="E13" s="9" t="s">
        <v>29</v>
      </c>
      <c r="F13" s="12">
        <v>126.38</v>
      </c>
      <c r="G13" s="13">
        <f t="shared" si="0"/>
        <v>100369.12897949258</v>
      </c>
      <c r="H13" s="14">
        <f t="shared" ca="1" si="1"/>
        <v>8.7986100497694827E-2</v>
      </c>
      <c r="I13" s="15">
        <f t="shared" si="2"/>
        <v>794.18522693062653</v>
      </c>
      <c r="J13" s="13">
        <f t="shared" si="3"/>
        <v>7467.4631960742472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9">
        <v>6</v>
      </c>
      <c r="B14" s="8" t="str">
        <f ca="1">IFERROR(__xludf.DUMMYFUNCTION("GOOGLEFINANCE(E31,""name"")"),"ASML Holding NV")</f>
        <v>ASML Holding NV</v>
      </c>
      <c r="C14" s="10">
        <v>0.45600000000000002</v>
      </c>
      <c r="D14" s="11">
        <v>0.09</v>
      </c>
      <c r="E14" s="9" t="s">
        <v>28</v>
      </c>
      <c r="F14" s="12">
        <v>1279.24</v>
      </c>
      <c r="G14" s="13">
        <f t="shared" si="0"/>
        <v>16376.01578086458</v>
      </c>
      <c r="H14" s="14">
        <f t="shared" ca="1" si="1"/>
        <v>1.4355626923308103E-2</v>
      </c>
      <c r="I14" s="15">
        <f t="shared" si="2"/>
        <v>12.801363138163738</v>
      </c>
      <c r="J14" s="13">
        <f t="shared" si="3"/>
        <v>7467.463196074249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9">
        <v>7</v>
      </c>
      <c r="B15" s="8" t="str">
        <f ca="1">IFERROR(__xludf.DUMMYFUNCTION("GOOGLEFINANCE(E50,""name"")"),"Uber Technologies Inc")</f>
        <v>Uber Technologies Inc</v>
      </c>
      <c r="C15" s="10">
        <v>0.26569999999999999</v>
      </c>
      <c r="D15" s="11">
        <v>0.28000000000000003</v>
      </c>
      <c r="E15" s="9" t="s">
        <v>43</v>
      </c>
      <c r="F15" s="12">
        <v>85.64</v>
      </c>
      <c r="G15" s="13">
        <f t="shared" si="0"/>
        <v>23933.050914215193</v>
      </c>
      <c r="H15" s="14">
        <f t="shared" ca="1" si="1"/>
        <v>2.0980313811279933E-2</v>
      </c>
      <c r="I15" s="15">
        <f t="shared" si="2"/>
        <v>279.46112697588967</v>
      </c>
      <c r="J15" s="13">
        <f t="shared" si="3"/>
        <v>6359.0116279069771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9">
        <v>8</v>
      </c>
      <c r="B16" s="8" t="str">
        <f ca="1">IFERROR(__xludf.DUMMYFUNCTION("GOOGLEFINANCE(E26,""name"")"),"Occidental Petroleum Corp")</f>
        <v>Occidental Petroleum Corp</v>
      </c>
      <c r="C16" s="10">
        <v>0.2331</v>
      </c>
      <c r="D16" s="11">
        <v>0.03</v>
      </c>
      <c r="E16" s="9" t="s">
        <v>23</v>
      </c>
      <c r="F16" s="12">
        <v>43.49</v>
      </c>
      <c r="G16" s="13">
        <f t="shared" si="0"/>
        <v>33901.591815342093</v>
      </c>
      <c r="H16" s="14">
        <f t="shared" ca="1" si="1"/>
        <v>2.9718987250611464E-2</v>
      </c>
      <c r="I16" s="15">
        <f t="shared" si="2"/>
        <v>779.52613969515039</v>
      </c>
      <c r="J16" s="13">
        <f t="shared" si="3"/>
        <v>7902.4610521562417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9">
        <v>9</v>
      </c>
      <c r="B17" s="8" t="str">
        <f ca="1">IFERROR(__xludf.DUMMYFUNCTION("GOOGLEFINANCE(E11,""name"")"),"Alphabet Inc Class A")</f>
        <v>Alphabet Inc Class A</v>
      </c>
      <c r="C17" s="10">
        <v>0.22969999999999999</v>
      </c>
      <c r="D17" s="11">
        <v>-0.18</v>
      </c>
      <c r="E17" s="9" t="s">
        <v>14</v>
      </c>
      <c r="F17" s="12">
        <v>336.84</v>
      </c>
      <c r="G17" s="13">
        <f t="shared" si="0"/>
        <v>43214.0272238494</v>
      </c>
      <c r="H17" s="14">
        <f t="shared" ca="1" si="1"/>
        <v>3.7882502128763179E-2</v>
      </c>
      <c r="I17" s="15">
        <f t="shared" si="2"/>
        <v>128.2924451485851</v>
      </c>
      <c r="J17" s="13">
        <f t="shared" si="3"/>
        <v>9926.2620533182071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9">
        <v>10</v>
      </c>
      <c r="B18" s="8" t="str">
        <f ca="1">IFERROR(__xludf.DUMMYFUNCTION("GOOGLEFINANCE(E20,""name"")"),"Fortinet Inc")</f>
        <v>Fortinet Inc</v>
      </c>
      <c r="C18" s="10">
        <v>0.3231</v>
      </c>
      <c r="D18" s="11">
        <v>-0.02</v>
      </c>
      <c r="E18" s="9" t="s">
        <v>3</v>
      </c>
      <c r="F18" s="12">
        <v>78.05</v>
      </c>
      <c r="G18" s="13">
        <f t="shared" si="0"/>
        <v>25706.121450113158</v>
      </c>
      <c r="H18" s="14">
        <f t="shared" ca="1" si="1"/>
        <v>2.2534631996036673E-2</v>
      </c>
      <c r="I18" s="15">
        <f t="shared" si="2"/>
        <v>329.35453491496679</v>
      </c>
      <c r="J18" s="13">
        <f t="shared" si="3"/>
        <v>8305.6478405315611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9">
        <v>11</v>
      </c>
      <c r="B19" s="8" t="str">
        <f ca="1">IFERROR(__xludf.DUMMYFUNCTION("GOOGLEFINANCE(E18,""name"")"),"Intuit Inc")</f>
        <v>Intuit Inc</v>
      </c>
      <c r="C19" s="10">
        <v>0.23880000000000001</v>
      </c>
      <c r="D19" s="11">
        <v>-0.04</v>
      </c>
      <c r="E19" s="9" t="s">
        <v>7</v>
      </c>
      <c r="F19" s="12">
        <v>609.58000000000004</v>
      </c>
      <c r="G19" s="13">
        <f t="shared" si="0"/>
        <v>35505.369223377878</v>
      </c>
      <c r="H19" s="14">
        <f t="shared" ca="1" si="1"/>
        <v>3.1124898825555997E-2</v>
      </c>
      <c r="I19" s="15">
        <f t="shared" si="2"/>
        <v>58.245626863377858</v>
      </c>
      <c r="J19" s="13">
        <f t="shared" si="3"/>
        <v>8478.6821705426373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9">
        <v>12</v>
      </c>
      <c r="B20" s="8" t="str">
        <f ca="1">IFERROR(__xludf.DUMMYFUNCTION("GOOGLEFINANCE(E46,""name"")"),"Salesforce Inc")</f>
        <v>Salesforce Inc</v>
      </c>
      <c r="C20" s="10">
        <v>0.33069999999999999</v>
      </c>
      <c r="D20" s="11">
        <v>0.23</v>
      </c>
      <c r="E20" s="9" t="s">
        <v>41</v>
      </c>
      <c r="F20" s="12">
        <v>242.82</v>
      </c>
      <c r="G20" s="13">
        <f t="shared" si="0"/>
        <v>20010.607909118451</v>
      </c>
      <c r="H20" s="14">
        <f t="shared" ca="1" si="1"/>
        <v>1.7541801711474451E-2</v>
      </c>
      <c r="I20" s="15">
        <f t="shared" si="2"/>
        <v>82.409224566009598</v>
      </c>
      <c r="J20" s="13">
        <f t="shared" si="3"/>
        <v>6617.508035545472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9">
        <v>13</v>
      </c>
      <c r="B21" s="8" t="str">
        <f ca="1">IFERROR(__xludf.DUMMYFUNCTION("GOOGLEFINANCE(E28,""name"")"),"Meta Platforms Inc")</f>
        <v>Meta Platforms Inc</v>
      </c>
      <c r="C21" s="10">
        <v>0.27579999999999999</v>
      </c>
      <c r="D21" s="11">
        <v>0.08</v>
      </c>
      <c r="E21" s="9" t="s">
        <v>25</v>
      </c>
      <c r="F21" s="12">
        <v>629.22</v>
      </c>
      <c r="G21" s="13">
        <f t="shared" si="0"/>
        <v>27326.346533051761</v>
      </c>
      <c r="H21" s="14">
        <f t="shared" ca="1" si="1"/>
        <v>2.3954962016091434E-2</v>
      </c>
      <c r="I21" s="15">
        <f t="shared" si="2"/>
        <v>43.428922369047008</v>
      </c>
      <c r="J21" s="13">
        <f t="shared" si="3"/>
        <v>7536.6063738156754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9">
        <v>14</v>
      </c>
      <c r="B22" s="8" t="str">
        <f ca="1">IFERROR(__xludf.DUMMYFUNCTION("GOOGLEFINANCE(E38,""name"")"),"Goodrx Holdings Inc")</f>
        <v>Goodrx Holdings Inc</v>
      </c>
      <c r="C22" s="10">
        <v>0.53249999999999997</v>
      </c>
      <c r="D22" s="11">
        <v>0.18</v>
      </c>
      <c r="E22" s="9" t="s">
        <v>35</v>
      </c>
      <c r="F22" s="12">
        <v>2.87</v>
      </c>
      <c r="G22" s="13">
        <f t="shared" si="0"/>
        <v>12953.823320953181</v>
      </c>
      <c r="H22" s="14">
        <f t="shared" ca="1" si="1"/>
        <v>1.1355647021502444E-2</v>
      </c>
      <c r="I22" s="15">
        <f t="shared" si="2"/>
        <v>4513.5272895307253</v>
      </c>
      <c r="J22" s="13">
        <f t="shared" si="3"/>
        <v>6897.9109184075687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9">
        <v>15</v>
      </c>
      <c r="B23" s="8" t="str">
        <f ca="1">IFERROR(__xludf.DUMMYFUNCTION("GOOGLEFINANCE(E12,""name"")"),"Applovin Corp")</f>
        <v>Applovin Corp</v>
      </c>
      <c r="C23" s="10">
        <v>0.76429999999999998</v>
      </c>
      <c r="D23" s="11">
        <v>-0.15</v>
      </c>
      <c r="E23" s="9" t="s">
        <v>4</v>
      </c>
      <c r="F23" s="12">
        <v>675.35</v>
      </c>
      <c r="G23" s="13">
        <f t="shared" si="0"/>
        <v>12529.011373299569</v>
      </c>
      <c r="H23" s="14">
        <f t="shared" ca="1" si="1"/>
        <v>1.0983246193689051E-2</v>
      </c>
      <c r="I23" s="15">
        <f t="shared" si="2"/>
        <v>18.551878838083319</v>
      </c>
      <c r="J23" s="13">
        <f t="shared" si="3"/>
        <v>9575.92339261286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9">
        <v>16</v>
      </c>
      <c r="B24" s="8" t="str">
        <f ca="1">IFERROR(__xludf.DUMMYFUNCTION("GOOGLEFINANCE(E9,""name"")"),"Catalyst Pharmaceuticals Inc")</f>
        <v>Catalyst Pharmaceuticals Inc</v>
      </c>
      <c r="C24" s="10">
        <v>0.27039999999999997</v>
      </c>
      <c r="D24" s="11">
        <v>-0.28000000000000003</v>
      </c>
      <c r="E24" s="9" t="s">
        <v>12</v>
      </c>
      <c r="F24" s="12">
        <v>22.43</v>
      </c>
      <c r="G24" s="13">
        <f t="shared" si="0"/>
        <v>41808.097487882827</v>
      </c>
      <c r="H24" s="14">
        <f t="shared" ca="1" si="1"/>
        <v>3.6650028794589604E-2</v>
      </c>
      <c r="I24" s="15">
        <f t="shared" si="2"/>
        <v>1863.9365799323598</v>
      </c>
      <c r="J24" s="13">
        <f t="shared" si="3"/>
        <v>11304.909560723516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9">
        <v>17</v>
      </c>
      <c r="B25" s="8" t="str">
        <f ca="1">IFERROR(__xludf.DUMMYFUNCTION("GOOGLEFINANCE(E10,""name"")"),"Allstate Corp")</f>
        <v>Allstate Corp</v>
      </c>
      <c r="C25" s="10">
        <v>0.2404</v>
      </c>
      <c r="D25" s="11">
        <v>-0.2</v>
      </c>
      <c r="E25" s="9" t="s">
        <v>13</v>
      </c>
      <c r="F25" s="12">
        <v>199.89</v>
      </c>
      <c r="G25" s="13">
        <f t="shared" si="0"/>
        <v>42322.872731494026</v>
      </c>
      <c r="H25" s="14">
        <f t="shared" ca="1" si="1"/>
        <v>3.7101293708200186E-2</v>
      </c>
      <c r="I25" s="15">
        <f t="shared" si="2"/>
        <v>211.73081560605348</v>
      </c>
      <c r="J25" s="13">
        <f t="shared" si="3"/>
        <v>10174.418604651164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9">
        <v>18</v>
      </c>
      <c r="B26" s="8" t="str">
        <f ca="1">IFERROR(__xludf.DUMMYFUNCTION("GOOGLEFINANCE(E13,""name"")"),"Duolingo Inc")</f>
        <v>Duolingo Inc</v>
      </c>
      <c r="C26" s="10">
        <v>0.40189999999999998</v>
      </c>
      <c r="D26" s="11">
        <v>-0.12</v>
      </c>
      <c r="E26" s="9" t="s">
        <v>5</v>
      </c>
      <c r="F26" s="12">
        <v>165.34</v>
      </c>
      <c r="G26" s="13">
        <f t="shared" si="0"/>
        <v>23014.360434868831</v>
      </c>
      <c r="H26" s="14">
        <f t="shared" ca="1" si="1"/>
        <v>2.0174966652607668E-2</v>
      </c>
      <c r="I26" s="15">
        <f t="shared" si="2"/>
        <v>139.19414802751197</v>
      </c>
      <c r="J26" s="13">
        <f t="shared" si="3"/>
        <v>9249.4714587737835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9">
        <v>19</v>
      </c>
      <c r="B27" s="8" t="str">
        <f ca="1">IFERROR(__xludf.DUMMYFUNCTION("GOOGLEFINANCE(E49,""name"")"),"Oscar Health Inc")</f>
        <v>Oscar Health Inc</v>
      </c>
      <c r="C27" s="10">
        <v>1.0097</v>
      </c>
      <c r="D27" s="11">
        <v>0.28000000000000003</v>
      </c>
      <c r="E27" s="9" t="s">
        <v>42</v>
      </c>
      <c r="F27" s="12">
        <v>17.57</v>
      </c>
      <c r="G27" s="13">
        <f t="shared" si="0"/>
        <v>6297.921786577178</v>
      </c>
      <c r="H27" s="14">
        <f t="shared" ca="1" si="1"/>
        <v>5.5209164897069207E-3</v>
      </c>
      <c r="I27" s="15">
        <f t="shared" si="2"/>
        <v>358.44745512676025</v>
      </c>
      <c r="J27" s="13">
        <f t="shared" si="3"/>
        <v>6359.0116279069771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9">
        <v>20</v>
      </c>
      <c r="B28" s="8" t="str">
        <f ca="1">IFERROR(__xludf.DUMMYFUNCTION("GOOGLEFINANCE(E22,""name"")"),"Procter &amp; Gamble Co")</f>
        <v>Procter &amp; Gamble Co</v>
      </c>
      <c r="C28" s="10">
        <v>0.1174</v>
      </c>
      <c r="D28" s="11">
        <v>0.01</v>
      </c>
      <c r="E28" s="9" t="s">
        <v>20</v>
      </c>
      <c r="F28" s="12">
        <v>143.85</v>
      </c>
      <c r="G28" s="13">
        <f t="shared" si="0"/>
        <v>68645.191051334434</v>
      </c>
      <c r="H28" s="14">
        <f t="shared" ca="1" si="1"/>
        <v>6.0176099363781758E-2</v>
      </c>
      <c r="I28" s="15">
        <f t="shared" si="2"/>
        <v>477.19979875797316</v>
      </c>
      <c r="J28" s="13">
        <f t="shared" si="3"/>
        <v>8058.9454294266625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9">
        <v>21</v>
      </c>
      <c r="B29" s="8" t="str">
        <f ca="1">IFERROR(__xludf.DUMMYFUNCTION("GOOGLEFINANCE(E23,""name"")"),"Oddity Tech Ltd")</f>
        <v>Oddity Tech Ltd</v>
      </c>
      <c r="C29" s="10">
        <v>0.35949999999999999</v>
      </c>
      <c r="D29" s="11">
        <v>0.02</v>
      </c>
      <c r="E29" s="9" t="s">
        <v>1</v>
      </c>
      <c r="F29" s="12">
        <v>33.74</v>
      </c>
      <c r="G29" s="13">
        <f t="shared" si="0"/>
        <v>22197.318944396986</v>
      </c>
      <c r="H29" s="14">
        <f t="shared" ca="1" si="1"/>
        <v>1.9458727551776869E-2</v>
      </c>
      <c r="I29" s="15">
        <f t="shared" si="2"/>
        <v>657.89327043263143</v>
      </c>
      <c r="J29" s="13">
        <f t="shared" si="3"/>
        <v>7979.936160510716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9">
        <v>22</v>
      </c>
      <c r="B30" s="8" t="str">
        <f ca="1">IFERROR(__xludf.DUMMYFUNCTION("GOOGLEFINANCE(E43,""name"")"),"Elevance Health Inc")</f>
        <v>Elevance Health Inc</v>
      </c>
      <c r="C30" s="10">
        <v>0.4405</v>
      </c>
      <c r="D30" s="11">
        <v>0.22</v>
      </c>
      <c r="E30" s="9" t="s">
        <v>38</v>
      </c>
      <c r="F30" s="12">
        <v>371.14</v>
      </c>
      <c r="G30" s="13">
        <f t="shared" si="0"/>
        <v>15145.856764334363</v>
      </c>
      <c r="H30" s="14">
        <f t="shared" ca="1" si="1"/>
        <v>1.3277238618486927E-2</v>
      </c>
      <c r="I30" s="15">
        <f t="shared" si="2"/>
        <v>40.809012136483169</v>
      </c>
      <c r="J30" s="13">
        <f t="shared" si="3"/>
        <v>6671.7499046892872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9">
        <v>23</v>
      </c>
      <c r="B31" s="8" t="str">
        <f ca="1">IFERROR(__xludf.DUMMYFUNCTION("GOOGLEFINANCE(E27,""name"")"),"Pinterest Inc")</f>
        <v>Pinterest Inc</v>
      </c>
      <c r="C31" s="10">
        <v>0.42280000000000001</v>
      </c>
      <c r="D31" s="11">
        <v>0.05</v>
      </c>
      <c r="E31" s="9" t="s">
        <v>24</v>
      </c>
      <c r="F31" s="12">
        <v>27.61</v>
      </c>
      <c r="G31" s="13">
        <f t="shared" si="0"/>
        <v>18334.763444882035</v>
      </c>
      <c r="H31" s="14">
        <f t="shared" ca="1" si="1"/>
        <v>1.6072714344193044E-2</v>
      </c>
      <c r="I31" s="15">
        <f t="shared" si="2"/>
        <v>664.06242103882778</v>
      </c>
      <c r="J31" s="13">
        <f t="shared" si="3"/>
        <v>7751.937984496125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9">
        <v>24</v>
      </c>
      <c r="B32" s="8" t="str">
        <f ca="1">IFERROR(__xludf.DUMMYFUNCTION("GOOGLEFINANCE(E41,""name"")"),"Kroger Co")</f>
        <v>Kroger Co</v>
      </c>
      <c r="C32" s="10">
        <v>0.1757</v>
      </c>
      <c r="D32" s="11">
        <v>0.19</v>
      </c>
      <c r="E32" s="9" t="s">
        <v>10</v>
      </c>
      <c r="F32" s="12">
        <v>61.19</v>
      </c>
      <c r="G32" s="13">
        <f t="shared" si="0"/>
        <v>38929.682871017401</v>
      </c>
      <c r="H32" s="14">
        <f t="shared" ca="1" si="1"/>
        <v>3.4126738213824462E-2</v>
      </c>
      <c r="I32" s="15">
        <f t="shared" si="2"/>
        <v>636.20988512857332</v>
      </c>
      <c r="J32" s="13">
        <f t="shared" si="3"/>
        <v>6839.945280437757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9">
        <v>25</v>
      </c>
      <c r="B33" s="8" t="str">
        <f ca="1">IFERROR(__xludf.DUMMYFUNCTION("GOOGLEFINANCE(E16,""name"")"),"PDD Holdings Inc - ADR")</f>
        <v>PDD Holdings Inc - ADR</v>
      </c>
      <c r="C33" s="10">
        <v>0.29349999999999998</v>
      </c>
      <c r="D33" s="11">
        <v>-0.11</v>
      </c>
      <c r="E33" s="9" t="s">
        <v>17</v>
      </c>
      <c r="F33" s="12">
        <v>111.54</v>
      </c>
      <c r="G33" s="13">
        <f t="shared" si="0"/>
        <v>31160.288971616985</v>
      </c>
      <c r="H33" s="14">
        <f t="shared" ca="1" si="1"/>
        <v>2.731589229546948E-2</v>
      </c>
      <c r="I33" s="15">
        <f t="shared" si="2"/>
        <v>279.36425472132851</v>
      </c>
      <c r="J33" s="13">
        <f t="shared" si="3"/>
        <v>9145.5448131695848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9">
        <v>26</v>
      </c>
      <c r="B34" s="8" t="s">
        <v>0</v>
      </c>
      <c r="C34" s="10">
        <v>0.67559999999999998</v>
      </c>
      <c r="D34" s="11">
        <v>0.28000000000000003</v>
      </c>
      <c r="E34" s="9" t="s">
        <v>44</v>
      </c>
      <c r="F34" s="12">
        <v>1220</v>
      </c>
      <c r="G34" s="13">
        <f t="shared" si="0"/>
        <v>9412.3913971388047</v>
      </c>
      <c r="H34" s="14">
        <f t="shared" ca="1" si="1"/>
        <v>8.2511388094391319E-3</v>
      </c>
      <c r="I34" s="15">
        <f t="shared" si="2"/>
        <v>7.7150749156875449</v>
      </c>
      <c r="J34" s="13">
        <f t="shared" si="3"/>
        <v>6359.0116279069762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9">
        <v>27</v>
      </c>
      <c r="B35" s="8" t="str">
        <f ca="1">IFERROR(__xludf.DUMMYFUNCTION("GOOGLEFINANCE(E30,""name"")"),"eToro Group Ltd")</f>
        <v>eToro Group Ltd</v>
      </c>
      <c r="C35" s="10">
        <v>0.5</v>
      </c>
      <c r="D35" s="11">
        <v>0.09</v>
      </c>
      <c r="E35" s="9" t="s">
        <v>27</v>
      </c>
      <c r="F35" s="12">
        <v>31.12</v>
      </c>
      <c r="G35" s="13">
        <f t="shared" si="0"/>
        <v>14934.926392148494</v>
      </c>
      <c r="H35" s="14">
        <f t="shared" ca="1" si="1"/>
        <v>1.3092331754056989E-2</v>
      </c>
      <c r="I35" s="15">
        <f t="shared" si="2"/>
        <v>479.9140871513012</v>
      </c>
      <c r="J35" s="13">
        <f t="shared" si="3"/>
        <v>7467.4631960742472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9">
        <v>28</v>
      </c>
      <c r="B36" s="8" t="str">
        <f ca="1">IFERROR(__xludf.DUMMYFUNCTION("GOOGLEFINANCE(E14,""name"")"),"Instacart")</f>
        <v>Instacart</v>
      </c>
      <c r="C36" s="10">
        <v>0.3483</v>
      </c>
      <c r="D36" s="11">
        <v>-0.11</v>
      </c>
      <c r="E36" s="9" t="s">
        <v>15</v>
      </c>
      <c r="F36" s="12">
        <v>41.05</v>
      </c>
      <c r="G36" s="13">
        <f t="shared" si="0"/>
        <v>26257.665268933633</v>
      </c>
      <c r="H36" s="14">
        <f t="shared" ca="1" si="1"/>
        <v>2.3018129166581372E-2</v>
      </c>
      <c r="I36" s="15">
        <f t="shared" si="2"/>
        <v>639.65079826878525</v>
      </c>
      <c r="J36" s="13">
        <f t="shared" si="3"/>
        <v>9145.5448131695848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9">
        <v>29</v>
      </c>
      <c r="B37" s="8" t="str">
        <f ca="1">IFERROR(__xludf.DUMMYFUNCTION("GOOGLEFINANCE(E47,""name"")"),"Comcast Corp")</f>
        <v>Comcast Corp</v>
      </c>
      <c r="C37" s="10">
        <v>0.26910000000000001</v>
      </c>
      <c r="D37" s="11">
        <v>0.24</v>
      </c>
      <c r="E37" s="9" t="s">
        <v>9</v>
      </c>
      <c r="F37" s="12">
        <v>28.5</v>
      </c>
      <c r="G37" s="13">
        <f t="shared" si="0"/>
        <v>24392.94327483766</v>
      </c>
      <c r="H37" s="14">
        <f t="shared" ca="1" si="1"/>
        <v>2.1383467010588041E-2</v>
      </c>
      <c r="I37" s="15">
        <f t="shared" si="2"/>
        <v>855.89274648553192</v>
      </c>
      <c r="J37" s="13">
        <f t="shared" si="3"/>
        <v>6564.1410352588146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9">
        <v>30</v>
      </c>
      <c r="B38" s="8" t="str">
        <f ca="1">IFERROR(__xludf.DUMMYFUNCTION("GOOGLEFINANCE(E35,""name"")"),"CorMedix Inc")</f>
        <v>CorMedix Inc</v>
      </c>
      <c r="C38" s="10">
        <v>0.58819999999999995</v>
      </c>
      <c r="D38" s="11">
        <v>0.11</v>
      </c>
      <c r="E38" s="9" t="s">
        <v>32</v>
      </c>
      <c r="F38" s="12">
        <v>7.13</v>
      </c>
      <c r="G38" s="13">
        <f t="shared" si="0"/>
        <v>12466.702328559157</v>
      </c>
      <c r="H38" s="14">
        <f t="shared" ca="1" si="1"/>
        <v>1.0928624519393507E-2</v>
      </c>
      <c r="I38" s="15">
        <f t="shared" si="2"/>
        <v>1748.4856000784232</v>
      </c>
      <c r="J38" s="13">
        <f t="shared" si="3"/>
        <v>7332.9143096584949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9">
        <v>31</v>
      </c>
      <c r="B39" s="8" t="str">
        <f ca="1">IFERROR(__xludf.DUMMYFUNCTION("GOOGLEFINANCE(E29,""name"")"),"Sea Ltd")</f>
        <v>Sea Ltd</v>
      </c>
      <c r="C39" s="10">
        <v>0.36890000000000001</v>
      </c>
      <c r="D39" s="11">
        <v>0.09</v>
      </c>
      <c r="E39" s="9" t="s">
        <v>26</v>
      </c>
      <c r="F39" s="12">
        <v>128.38</v>
      </c>
      <c r="G39" s="13">
        <f t="shared" si="0"/>
        <v>20242.513407628754</v>
      </c>
      <c r="H39" s="14">
        <f t="shared" ca="1" si="1"/>
        <v>1.7745095898694753E-2</v>
      </c>
      <c r="I39" s="15">
        <f t="shared" si="2"/>
        <v>157.67653378741824</v>
      </c>
      <c r="J39" s="13">
        <f t="shared" si="3"/>
        <v>7467.4631960742472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9">
        <v>32</v>
      </c>
      <c r="B40" s="8" t="str">
        <f ca="1">IFERROR(__xludf.DUMMYFUNCTION("GOOGLEFINANCE(E39,""name"")"),"EQT Corp")</f>
        <v>EQT Corp</v>
      </c>
      <c r="C40" s="10">
        <v>0.30630000000000002</v>
      </c>
      <c r="D40" s="11">
        <v>0.18</v>
      </c>
      <c r="E40" s="9" t="s">
        <v>8</v>
      </c>
      <c r="F40" s="12">
        <v>51.66</v>
      </c>
      <c r="G40" s="13">
        <f t="shared" si="0"/>
        <v>22520.114000677662</v>
      </c>
      <c r="H40" s="14">
        <f t="shared" ca="1" si="1"/>
        <v>1.9741697809174178E-2</v>
      </c>
      <c r="I40" s="15">
        <f t="shared" si="2"/>
        <v>435.92942316449216</v>
      </c>
      <c r="J40" s="13">
        <f t="shared" si="3"/>
        <v>6897.9109184075687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9">
        <v>33</v>
      </c>
      <c r="B41" s="8" t="str">
        <f ca="1">IFERROR(__xludf.DUMMYFUNCTION("GOOGLEFINANCE(E17,""name"")"),"British American Tobacco PLC")</f>
        <v>British American Tobacco PLC</v>
      </c>
      <c r="C41" s="10">
        <v>0.2833</v>
      </c>
      <c r="D41" s="11">
        <v>-0.08</v>
      </c>
      <c r="E41" s="9" t="s">
        <v>18</v>
      </c>
      <c r="F41" s="12">
        <v>56.6</v>
      </c>
      <c r="G41" s="13">
        <f t="shared" si="0"/>
        <v>31229.511209966884</v>
      </c>
      <c r="H41" s="14">
        <f t="shared" ca="1" si="1"/>
        <v>2.7376574248994989E-2</v>
      </c>
      <c r="I41" s="15">
        <f t="shared" si="2"/>
        <v>551.75814858598733</v>
      </c>
      <c r="J41" s="13">
        <f t="shared" si="3"/>
        <v>8847.320525783618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9">
        <v>34</v>
      </c>
      <c r="B42" s="8" t="str">
        <f ca="1">IFERROR(__xludf.DUMMYFUNCTION("GOOGLEFINANCE(E33,""name"")"),"Gambling.com Group Ltd")</f>
        <v>Gambling.com Group Ltd</v>
      </c>
      <c r="C42" s="10">
        <v>0.2626</v>
      </c>
      <c r="D42" s="11">
        <v>0.1</v>
      </c>
      <c r="E42" s="9" t="s">
        <v>30</v>
      </c>
      <c r="F42" s="12">
        <v>5.07</v>
      </c>
      <c r="G42" s="13">
        <f t="shared" si="0"/>
        <v>28178.130872121201</v>
      </c>
      <c r="H42" s="14">
        <f t="shared" ca="1" si="1"/>
        <v>2.4701657571006921E-2</v>
      </c>
      <c r="I42" s="15">
        <f t="shared" si="2"/>
        <v>5557.8167400633529</v>
      </c>
      <c r="J42" s="13">
        <f t="shared" si="3"/>
        <v>7399.577167019027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9">
        <v>35</v>
      </c>
      <c r="B43" s="8" t="str">
        <f ca="1">IFERROR(__xludf.DUMMYFUNCTION("GOOGLEFINANCE(E42,""name"")"),"Zeta Global Holdings Corp")</f>
        <v>Zeta Global Holdings Corp</v>
      </c>
      <c r="C43" s="10">
        <v>0.41289999999999999</v>
      </c>
      <c r="D43" s="11">
        <v>0.22</v>
      </c>
      <c r="E43" s="9" t="s">
        <v>37</v>
      </c>
      <c r="F43" s="12">
        <v>23.66</v>
      </c>
      <c r="G43" s="13">
        <f t="shared" si="0"/>
        <v>16158.270536907936</v>
      </c>
      <c r="H43" s="14">
        <f t="shared" ca="1" si="1"/>
        <v>1.4164745971042603E-2</v>
      </c>
      <c r="I43" s="15">
        <f t="shared" si="2"/>
        <v>682.93620189805313</v>
      </c>
      <c r="J43" s="13">
        <f t="shared" si="3"/>
        <v>6671.7499046892863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9">
        <v>36</v>
      </c>
      <c r="B44" s="8" t="str">
        <f ca="1">IFERROR(__xludf.DUMMYFUNCTION("GOOGLEFINANCE(E25,""name"")"),"Opera Ltd")</f>
        <v>Opera Ltd</v>
      </c>
      <c r="C44" s="10">
        <v>0.58530000000000004</v>
      </c>
      <c r="D44" s="11">
        <v>0.03</v>
      </c>
      <c r="E44" s="9" t="s">
        <v>22</v>
      </c>
      <c r="F44" s="12">
        <v>13.3</v>
      </c>
      <c r="G44" s="13">
        <f t="shared" si="0"/>
        <v>13501.55655587945</v>
      </c>
      <c r="H44" s="14">
        <f t="shared" ca="1" si="1"/>
        <v>1.1835803738454694E-2</v>
      </c>
      <c r="I44" s="15">
        <f t="shared" si="2"/>
        <v>1015.1546282616127</v>
      </c>
      <c r="J44" s="13">
        <f t="shared" si="3"/>
        <v>7902.4610521562427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9">
        <v>37</v>
      </c>
      <c r="B45" s="8" t="str">
        <f ca="1">IFERROR(__xludf.DUMMYFUNCTION("GOOGLEFINANCE(E24,""name"")"),"ARS Pharmaceuticals Inc")</f>
        <v>ARS Pharmaceuticals Inc</v>
      </c>
      <c r="C45" s="10">
        <v>0.69820000000000004</v>
      </c>
      <c r="D45" s="11">
        <v>0.03</v>
      </c>
      <c r="E45" s="9" t="s">
        <v>21</v>
      </c>
      <c r="F45" s="12">
        <v>11.11</v>
      </c>
      <c r="G45" s="13">
        <f t="shared" si="0"/>
        <v>11318.334362870586</v>
      </c>
      <c r="H45" s="14">
        <f t="shared" ca="1" si="1"/>
        <v>9.9219363049520681E-3</v>
      </c>
      <c r="I45" s="15">
        <f t="shared" si="2"/>
        <v>1018.7519678551383</v>
      </c>
      <c r="J45" s="13">
        <f t="shared" si="3"/>
        <v>7902.4610521562436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9">
        <v>38</v>
      </c>
      <c r="B46" s="8" t="str">
        <f ca="1">IFERROR(__xludf.DUMMYFUNCTION("GOOGLEFINANCE(E15,""name"")"),"Harmony Biosciences Holdings Inc")</f>
        <v>Harmony Biosciences Holdings Inc</v>
      </c>
      <c r="C46" s="10">
        <v>0.53480000000000005</v>
      </c>
      <c r="D46" s="11">
        <v>-0.11</v>
      </c>
      <c r="E46" s="9" t="s">
        <v>16</v>
      </c>
      <c r="F46" s="12">
        <v>35.880000000000003</v>
      </c>
      <c r="G46" s="13">
        <f t="shared" si="0"/>
        <v>17100.869134572895</v>
      </c>
      <c r="H46" s="14">
        <f t="shared" ca="1" si="1"/>
        <v>1.4991051586986335E-2</v>
      </c>
      <c r="I46" s="15">
        <f t="shared" si="2"/>
        <v>476.61285213413862</v>
      </c>
      <c r="J46" s="13">
        <f t="shared" si="3"/>
        <v>9145.5448131695848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" x14ac:dyDescent="0.15">
      <c r="A47" s="9">
        <v>39</v>
      </c>
      <c r="B47" s="8" t="str">
        <f ca="1">IFERROR(__xludf.DUMMYFUNCTION("GOOGLEFINANCE(E21,""name"")"),"Deckers Outdoor Corp")</f>
        <v>Deckers Outdoor Corp</v>
      </c>
      <c r="C47" s="10">
        <v>0.48370000000000002</v>
      </c>
      <c r="D47" s="11">
        <v>0.01</v>
      </c>
      <c r="E47" s="9" t="s">
        <v>2</v>
      </c>
      <c r="F47" s="12">
        <v>101.57</v>
      </c>
      <c r="G47" s="13">
        <f t="shared" si="0"/>
        <v>16661.040788560396</v>
      </c>
      <c r="H47" s="14">
        <f t="shared" ca="1" si="1"/>
        <v>1.4605487007045647E-2</v>
      </c>
      <c r="I47" s="15">
        <f t="shared" si="2"/>
        <v>164.035057483119</v>
      </c>
      <c r="J47" s="13">
        <f t="shared" si="3"/>
        <v>8058.9454294266643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" x14ac:dyDescent="0.15">
      <c r="A48" s="9">
        <v>40</v>
      </c>
      <c r="B48" s="8" t="str">
        <f ca="1">IFERROR(__xludf.DUMMYFUNCTION("GOOGLEFINANCE(E44,""name"")"),"CVS Health Corp")</f>
        <v>CVS Health Corp</v>
      </c>
      <c r="C48" s="10">
        <v>0.28360000000000002</v>
      </c>
      <c r="D48" s="11">
        <v>0.22</v>
      </c>
      <c r="E48" s="9" t="s">
        <v>39</v>
      </c>
      <c r="F48" s="12">
        <v>80.569999999999993</v>
      </c>
      <c r="G48" s="13">
        <f t="shared" si="0"/>
        <v>23525.211229510885</v>
      </c>
      <c r="H48" s="14">
        <f t="shared" ca="1" si="1"/>
        <v>2.0622791295639955E-2</v>
      </c>
      <c r="I48" s="15">
        <f t="shared" si="2"/>
        <v>291.98474903203288</v>
      </c>
      <c r="J48" s="13">
        <f t="shared" si="3"/>
        <v>6671.7499046892872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" x14ac:dyDescent="0.15">
      <c r="A49" s="9">
        <v>41</v>
      </c>
      <c r="B49" s="8" t="str">
        <f ca="1">IFERROR(__xludf.DUMMYFUNCTION("GOOGLEFINANCE(E34,""name"")"),"Palomar Holdings Inc")</f>
        <v>Palomar Holdings Inc</v>
      </c>
      <c r="C49" s="10">
        <v>0.30649999999999999</v>
      </c>
      <c r="D49" s="11">
        <v>0.1</v>
      </c>
      <c r="E49" s="9" t="s">
        <v>31</v>
      </c>
      <c r="F49" s="12">
        <v>126.64</v>
      </c>
      <c r="G49" s="13">
        <f t="shared" si="0"/>
        <v>24142.176727631409</v>
      </c>
      <c r="H49" s="14">
        <f t="shared" ca="1" si="1"/>
        <v>2.116363875414818E-2</v>
      </c>
      <c r="I49" s="15">
        <f t="shared" si="2"/>
        <v>190.63626601098713</v>
      </c>
      <c r="J49" s="13">
        <f t="shared" si="3"/>
        <v>7399.577167019027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" x14ac:dyDescent="0.15">
      <c r="A50" s="9">
        <v>42</v>
      </c>
      <c r="B50" s="8" t="str">
        <f ca="1">IFERROR(__xludf.DUMMYFUNCTION("GOOGLEFINANCE(E45,""name"")"),"Colgate-Palmolive Co")</f>
        <v>Colgate-Palmolive Co</v>
      </c>
      <c r="C50" s="10">
        <v>0.128</v>
      </c>
      <c r="D50" s="11">
        <v>0.23</v>
      </c>
      <c r="E50" s="9" t="s">
        <v>40</v>
      </c>
      <c r="F50" s="12">
        <v>82.68</v>
      </c>
      <c r="G50" s="13">
        <f t="shared" si="0"/>
        <v>51699.281527698993</v>
      </c>
      <c r="H50" s="14">
        <f t="shared" ca="1" si="1"/>
        <v>4.5320889265504691E-2</v>
      </c>
      <c r="I50" s="15">
        <f t="shared" si="2"/>
        <v>625.29368078977973</v>
      </c>
      <c r="J50" s="13">
        <f t="shared" si="3"/>
        <v>6617.5080355454711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" x14ac:dyDescent="0.15">
      <c r="A51" s="9">
        <v>43</v>
      </c>
      <c r="B51" s="8" t="str">
        <f ca="1">IFERROR(__xludf.DUMMYFUNCTION("GOOGLEFINANCE(E37,""name"")"),"Kaspi.kz AO - ADR")</f>
        <v>Kaspi.kz AO - ADR</v>
      </c>
      <c r="C51" s="10">
        <v>0.37669999999999998</v>
      </c>
      <c r="D51" s="11">
        <v>0.17</v>
      </c>
      <c r="E51" s="9" t="s">
        <v>34</v>
      </c>
      <c r="F51" s="12">
        <v>78.61</v>
      </c>
      <c r="G51" s="13">
        <f t="shared" si="0"/>
        <v>18467.92519772684</v>
      </c>
      <c r="H51" s="14">
        <f t="shared" ca="1" si="1"/>
        <v>1.6189447282770664E-2</v>
      </c>
      <c r="I51" s="15">
        <f t="shared" si="2"/>
        <v>234.93099093915328</v>
      </c>
      <c r="J51" s="13">
        <f t="shared" si="3"/>
        <v>6956.8674219837003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" x14ac:dyDescent="0.15">
      <c r="A52" s="2"/>
      <c r="B52" s="2"/>
      <c r="C52" s="2"/>
      <c r="D52" s="16"/>
      <c r="E52" s="2"/>
      <c r="F52" s="2"/>
      <c r="G52" s="2"/>
      <c r="H52" s="1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" x14ac:dyDescent="0.15">
      <c r="A53" s="2"/>
      <c r="B53" s="2"/>
      <c r="C53" s="18"/>
      <c r="D53" s="16"/>
      <c r="E53" s="2"/>
      <c r="F53" s="19"/>
      <c r="G53" s="2"/>
      <c r="H53" s="17"/>
      <c r="I53" s="2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" x14ac:dyDescent="0.15">
      <c r="A54" s="2"/>
      <c r="B54" s="2"/>
      <c r="C54" s="18"/>
      <c r="D54" s="16"/>
      <c r="E54" s="2"/>
      <c r="F54" s="19"/>
      <c r="G54" s="2"/>
      <c r="H54" s="17"/>
      <c r="I54" s="2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" x14ac:dyDescent="0.15">
      <c r="A55" s="2"/>
      <c r="B55" s="21" t="s">
        <v>85</v>
      </c>
      <c r="C55" s="18"/>
      <c r="D55" s="2"/>
      <c r="E55" s="2"/>
      <c r="F55" s="22"/>
      <c r="G55" s="23">
        <f ca="1">SUM(G9:G63)</f>
        <v>1140738.4622315678</v>
      </c>
      <c r="H55" s="17"/>
      <c r="I55" s="2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" x14ac:dyDescent="0.15">
      <c r="A56" s="2"/>
      <c r="B56" s="21" t="s">
        <v>86</v>
      </c>
      <c r="C56" s="18"/>
      <c r="D56" s="2"/>
      <c r="E56" s="2"/>
      <c r="F56" s="22"/>
      <c r="G56" s="5">
        <f ca="1">C3-G55</f>
        <v>259261.53776843217</v>
      </c>
      <c r="H56" s="17"/>
      <c r="I56" s="2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x14ac:dyDescent="0.15">
      <c r="A57" s="2"/>
      <c r="B57" s="2"/>
      <c r="C57" s="18"/>
      <c r="D57" s="16"/>
      <c r="E57" s="2"/>
      <c r="F57" s="19"/>
      <c r="G57" s="2"/>
      <c r="H57" s="17"/>
      <c r="I57" s="2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x14ac:dyDescent="0.15">
      <c r="A58" s="2"/>
      <c r="B58" s="2"/>
      <c r="C58" s="18"/>
      <c r="D58" s="16"/>
      <c r="E58" s="2"/>
      <c r="F58" s="19"/>
      <c r="G58" s="2"/>
      <c r="H58" s="17"/>
      <c r="I58" s="2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x14ac:dyDescent="0.15">
      <c r="A59" s="2"/>
      <c r="B59" s="2"/>
      <c r="C59" s="18"/>
      <c r="D59" s="16"/>
      <c r="E59" s="2"/>
      <c r="F59" s="19"/>
      <c r="G59" s="2"/>
      <c r="H59" s="17"/>
      <c r="I59" s="2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x14ac:dyDescent="0.15">
      <c r="A60" s="2"/>
      <c r="B60" s="2"/>
      <c r="C60" s="18"/>
      <c r="D60" s="16"/>
      <c r="E60" s="2"/>
      <c r="F60" s="19"/>
      <c r="G60" s="2"/>
      <c r="H60" s="17"/>
      <c r="I60" s="2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x14ac:dyDescent="0.15">
      <c r="A61" s="2"/>
      <c r="B61" s="2"/>
      <c r="C61" s="18"/>
      <c r="D61" s="16"/>
      <c r="E61" s="2"/>
      <c r="F61" s="19"/>
      <c r="G61" s="2"/>
      <c r="H61" s="17"/>
      <c r="I61" s="2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x14ac:dyDescent="0.15">
      <c r="A62" s="2"/>
      <c r="B62" s="2"/>
      <c r="C62" s="18"/>
      <c r="D62" s="16"/>
      <c r="E62" s="2"/>
      <c r="F62" s="19"/>
      <c r="G62" s="2"/>
      <c r="H62" s="17"/>
      <c r="I62" s="2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4"/>
      <c r="V62" s="2"/>
      <c r="W62" s="2"/>
      <c r="X62" s="2"/>
      <c r="Y62" s="2"/>
      <c r="Z62" s="2"/>
      <c r="AA62" s="2"/>
    </row>
    <row r="63" spans="1:27" ht="13" x14ac:dyDescent="0.15">
      <c r="A63" s="2"/>
      <c r="B63" s="2"/>
      <c r="C63" s="18"/>
      <c r="D63" s="16"/>
      <c r="E63" s="2"/>
      <c r="F63" s="19"/>
      <c r="G63" s="2"/>
      <c r="H63" s="17"/>
      <c r="I63" s="2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x14ac:dyDescent="0.15">
      <c r="A64" s="2"/>
      <c r="B64" s="2"/>
      <c r="C64" s="18"/>
      <c r="D64" s="16"/>
      <c r="E64" s="2"/>
      <c r="F64" s="19"/>
      <c r="G64" s="2"/>
      <c r="H64" s="2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x14ac:dyDescent="0.15">
      <c r="A65" s="2"/>
      <c r="B65" s="2"/>
      <c r="C65" s="18"/>
      <c r="D65" s="16"/>
      <c r="E65" s="2"/>
      <c r="F65" s="19"/>
      <c r="G65" s="2"/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x14ac:dyDescent="0.15">
      <c r="A66" s="2"/>
      <c r="B66" s="2"/>
      <c r="C66" s="18"/>
      <c r="D66" s="16"/>
      <c r="E66" s="2"/>
      <c r="F66" s="19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x14ac:dyDescent="0.15">
      <c r="A67" s="2"/>
      <c r="B67" s="2"/>
      <c r="C67" s="1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x14ac:dyDescent="0.15">
      <c r="A68" s="2"/>
      <c r="B68" s="2"/>
      <c r="C68" s="1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x14ac:dyDescent="0.15">
      <c r="A69" s="2"/>
      <c r="B69" s="2"/>
      <c r="C69" s="1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x14ac:dyDescent="0.15">
      <c r="A70" s="2"/>
      <c r="B70" s="2"/>
      <c r="C70" s="1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x14ac:dyDescent="0.15">
      <c r="A71" s="2"/>
      <c r="B71" s="2"/>
      <c r="C71" s="18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x14ac:dyDescent="0.15">
      <c r="A72" s="2"/>
      <c r="B72" s="2"/>
      <c r="C72" s="1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x14ac:dyDescent="0.15">
      <c r="A73" s="2"/>
      <c r="B73" s="2"/>
      <c r="C73" s="1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x14ac:dyDescent="0.15">
      <c r="A74" s="2"/>
      <c r="B74" s="2"/>
      <c r="C74" s="1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x14ac:dyDescent="0.15">
      <c r="A75" s="2"/>
      <c r="B75" s="2"/>
      <c r="C75" s="1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x14ac:dyDescent="0.15">
      <c r="A76" s="2"/>
      <c r="B76" s="2"/>
      <c r="C76" s="1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x14ac:dyDescent="0.15">
      <c r="A77" s="2"/>
      <c r="B77" s="2"/>
      <c r="C77" s="1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x14ac:dyDescent="0.15">
      <c r="A78" s="2"/>
      <c r="B78" s="2"/>
      <c r="C78" s="1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x14ac:dyDescent="0.15">
      <c r="A79" s="2"/>
      <c r="B79" s="2"/>
      <c r="C79" s="1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x14ac:dyDescent="0.15">
      <c r="A80" s="2"/>
      <c r="B80" s="2"/>
      <c r="C80" s="1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x14ac:dyDescent="0.15">
      <c r="A81" s="2"/>
      <c r="B81" s="2"/>
      <c r="C81" s="1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x14ac:dyDescent="0.15">
      <c r="A82" s="2"/>
      <c r="B82" s="2"/>
      <c r="C82" s="1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x14ac:dyDescent="0.15">
      <c r="A83" s="2"/>
      <c r="B83" s="2"/>
      <c r="C83" s="1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x14ac:dyDescent="0.15">
      <c r="A84" s="2"/>
      <c r="B84" s="2"/>
      <c r="C84" s="1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x14ac:dyDescent="0.15">
      <c r="A85" s="2"/>
      <c r="B85" s="2"/>
      <c r="C85" s="1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x14ac:dyDescent="0.15">
      <c r="A86" s="2"/>
      <c r="B86" s="2"/>
      <c r="C86" s="1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x14ac:dyDescent="0.15">
      <c r="A87" s="2"/>
      <c r="B87" s="2"/>
      <c r="C87" s="1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x14ac:dyDescent="0.15">
      <c r="A88" s="2"/>
      <c r="B88" s="2"/>
      <c r="C88" s="1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x14ac:dyDescent="0.15">
      <c r="A89" s="2"/>
      <c r="B89" s="2"/>
      <c r="C89" s="1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x14ac:dyDescent="0.15">
      <c r="A90" s="2"/>
      <c r="B90" s="2"/>
      <c r="C90" s="1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x14ac:dyDescent="0.15">
      <c r="A91" s="2"/>
      <c r="B91" s="2"/>
      <c r="C91" s="1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x14ac:dyDescent="0.15">
      <c r="A92" s="2"/>
      <c r="B92" s="2"/>
      <c r="C92" s="1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x14ac:dyDescent="0.15">
      <c r="A93" s="2"/>
      <c r="B93" s="2"/>
      <c r="C93" s="1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x14ac:dyDescent="0.15">
      <c r="A94" s="2"/>
      <c r="B94" s="2"/>
      <c r="C94" s="1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x14ac:dyDescent="0.15">
      <c r="A95" s="2"/>
      <c r="B95" s="2"/>
      <c r="C95" s="1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x14ac:dyDescent="0.15">
      <c r="A96" s="2"/>
      <c r="B96" s="2"/>
      <c r="C96" s="1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x14ac:dyDescent="0.15">
      <c r="A97" s="2"/>
      <c r="B97" s="2"/>
      <c r="C97" s="1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x14ac:dyDescent="0.15">
      <c r="A98" s="2"/>
      <c r="B98" s="2"/>
      <c r="C98" s="1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x14ac:dyDescent="0.15">
      <c r="A99" s="2"/>
      <c r="B99" s="2"/>
      <c r="C99" s="1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x14ac:dyDescent="0.15">
      <c r="A100" s="2"/>
      <c r="B100" s="2"/>
      <c r="C100" s="1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x14ac:dyDescent="0.15">
      <c r="A101" s="2"/>
      <c r="B101" s="2"/>
      <c r="C101" s="1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x14ac:dyDescent="0.15">
      <c r="A102" s="2"/>
      <c r="B102" s="2"/>
      <c r="C102" s="1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x14ac:dyDescent="0.15">
      <c r="A103" s="2"/>
      <c r="B103" s="2"/>
      <c r="C103" s="1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x14ac:dyDescent="0.15">
      <c r="A104" s="2"/>
      <c r="B104" s="2"/>
      <c r="C104" s="1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x14ac:dyDescent="0.15">
      <c r="A105" s="2"/>
      <c r="B105" s="2"/>
      <c r="C105" s="1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x14ac:dyDescent="0.15">
      <c r="A106" s="2"/>
      <c r="B106" s="2"/>
      <c r="C106" s="1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x14ac:dyDescent="0.15">
      <c r="A107" s="2"/>
      <c r="B107" s="2"/>
      <c r="C107" s="1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x14ac:dyDescent="0.15">
      <c r="A108" s="2"/>
      <c r="B108" s="2"/>
      <c r="C108" s="1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x14ac:dyDescent="0.15">
      <c r="A109" s="2"/>
      <c r="B109" s="2"/>
      <c r="C109" s="1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x14ac:dyDescent="0.15">
      <c r="A110" s="2"/>
      <c r="B110" s="2"/>
      <c r="C110" s="1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x14ac:dyDescent="0.15">
      <c r="A111" s="2"/>
      <c r="B111" s="2"/>
      <c r="C111" s="1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x14ac:dyDescent="0.15">
      <c r="A112" s="2"/>
      <c r="B112" s="2"/>
      <c r="C112" s="1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x14ac:dyDescent="0.15">
      <c r="A113" s="2"/>
      <c r="B113" s="2"/>
      <c r="C113" s="1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x14ac:dyDescent="0.15">
      <c r="A114" s="2"/>
      <c r="B114" s="2"/>
      <c r="C114" s="1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A8:J65" xr:uid="{00000000-0009-0000-0000-000005000000}">
    <sortState xmlns:xlrd2="http://schemas.microsoft.com/office/spreadsheetml/2017/richdata2" ref="A9:J65">
      <sortCondition ref="A8:A65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27DA-F2F9-D34A-BC30-C82F62A731DB}">
  <dimension ref="D7:D49"/>
  <sheetViews>
    <sheetView topLeftCell="A4" workbookViewId="0">
      <selection activeCell="D7" sqref="D7:D49"/>
    </sheetView>
  </sheetViews>
  <sheetFormatPr baseColWidth="10" defaultRowHeight="13" x14ac:dyDescent="0.15"/>
  <sheetData>
    <row r="7" spans="4:4" ht="14" x14ac:dyDescent="0.2">
      <c r="D7" s="1" t="s">
        <v>45</v>
      </c>
    </row>
    <row r="8" spans="4:4" ht="14" x14ac:dyDescent="0.2">
      <c r="D8" s="1" t="s">
        <v>46</v>
      </c>
    </row>
    <row r="9" spans="4:4" ht="14" x14ac:dyDescent="0.2">
      <c r="D9" s="1" t="s">
        <v>47</v>
      </c>
    </row>
    <row r="10" spans="4:4" ht="14" x14ac:dyDescent="0.2">
      <c r="D10" s="1" t="s">
        <v>48</v>
      </c>
    </row>
    <row r="11" spans="4:4" ht="14" x14ac:dyDescent="0.2">
      <c r="D11" s="1" t="s">
        <v>49</v>
      </c>
    </row>
    <row r="12" spans="4:4" ht="14" x14ac:dyDescent="0.2">
      <c r="D12" s="1" t="s">
        <v>49</v>
      </c>
    </row>
    <row r="13" spans="4:4" ht="14" x14ac:dyDescent="0.2">
      <c r="D13" s="1" t="s">
        <v>50</v>
      </c>
    </row>
    <row r="14" spans="4:4" ht="14" x14ac:dyDescent="0.2">
      <c r="D14" s="1" t="s">
        <v>51</v>
      </c>
    </row>
    <row r="15" spans="4:4" ht="14" x14ac:dyDescent="0.2">
      <c r="D15" s="1" t="s">
        <v>52</v>
      </c>
    </row>
    <row r="16" spans="4:4" ht="14" x14ac:dyDescent="0.2">
      <c r="D16" s="1" t="s">
        <v>53</v>
      </c>
    </row>
    <row r="17" spans="4:4" ht="14" x14ac:dyDescent="0.2">
      <c r="D17" s="1" t="s">
        <v>54</v>
      </c>
    </row>
    <row r="18" spans="4:4" ht="14" x14ac:dyDescent="0.2">
      <c r="D18" s="1" t="s">
        <v>55</v>
      </c>
    </row>
    <row r="19" spans="4:4" ht="14" x14ac:dyDescent="0.2">
      <c r="D19" s="1" t="s">
        <v>56</v>
      </c>
    </row>
    <row r="20" spans="4:4" ht="14" x14ac:dyDescent="0.2">
      <c r="D20" s="1" t="s">
        <v>57</v>
      </c>
    </row>
    <row r="21" spans="4:4" ht="14" x14ac:dyDescent="0.2">
      <c r="D21" s="1" t="s">
        <v>58</v>
      </c>
    </row>
    <row r="22" spans="4:4" ht="14" x14ac:dyDescent="0.2">
      <c r="D22" s="1" t="s">
        <v>59</v>
      </c>
    </row>
    <row r="23" spans="4:4" ht="14" x14ac:dyDescent="0.2">
      <c r="D23" s="1" t="s">
        <v>60</v>
      </c>
    </row>
    <row r="24" spans="4:4" ht="14" x14ac:dyDescent="0.2">
      <c r="D24" s="1" t="s">
        <v>61</v>
      </c>
    </row>
    <row r="25" spans="4:4" ht="14" x14ac:dyDescent="0.2">
      <c r="D25" s="1" t="s">
        <v>50</v>
      </c>
    </row>
    <row r="26" spans="4:4" ht="14" x14ac:dyDescent="0.2">
      <c r="D26" s="1" t="s">
        <v>62</v>
      </c>
    </row>
    <row r="27" spans="4:4" ht="14" x14ac:dyDescent="0.2">
      <c r="D27" s="1" t="s">
        <v>63</v>
      </c>
    </row>
    <row r="28" spans="4:4" ht="14" x14ac:dyDescent="0.2">
      <c r="D28" s="1" t="s">
        <v>64</v>
      </c>
    </row>
    <row r="29" spans="4:4" ht="14" x14ac:dyDescent="0.2">
      <c r="D29" s="1" t="s">
        <v>65</v>
      </c>
    </row>
    <row r="30" spans="4:4" ht="14" x14ac:dyDescent="0.2">
      <c r="D30" s="1" t="s">
        <v>48</v>
      </c>
    </row>
    <row r="31" spans="4:4" ht="14" x14ac:dyDescent="0.2">
      <c r="D31" s="1" t="s">
        <v>66</v>
      </c>
    </row>
    <row r="32" spans="4:4" ht="14" x14ac:dyDescent="0.2">
      <c r="D32" s="1" t="s">
        <v>50</v>
      </c>
    </row>
    <row r="33" spans="4:4" ht="14" x14ac:dyDescent="0.2">
      <c r="D33" s="1" t="s">
        <v>49</v>
      </c>
    </row>
    <row r="34" spans="4:4" ht="14" x14ac:dyDescent="0.2">
      <c r="D34" s="1" t="s">
        <v>66</v>
      </c>
    </row>
    <row r="35" spans="4:4" ht="14" x14ac:dyDescent="0.2">
      <c r="D35" s="1" t="s">
        <v>67</v>
      </c>
    </row>
    <row r="36" spans="4:4" ht="14" x14ac:dyDescent="0.2">
      <c r="D36" s="1" t="s">
        <v>68</v>
      </c>
    </row>
    <row r="37" spans="4:4" ht="14" x14ac:dyDescent="0.2">
      <c r="D37" s="1" t="s">
        <v>49</v>
      </c>
    </row>
    <row r="38" spans="4:4" ht="14" x14ac:dyDescent="0.2">
      <c r="D38" s="1" t="s">
        <v>57</v>
      </c>
    </row>
    <row r="39" spans="4:4" ht="14" x14ac:dyDescent="0.2">
      <c r="D39" s="1" t="s">
        <v>69</v>
      </c>
    </row>
    <row r="40" spans="4:4" ht="14" x14ac:dyDescent="0.2">
      <c r="D40" s="1" t="s">
        <v>70</v>
      </c>
    </row>
    <row r="41" spans="4:4" ht="14" x14ac:dyDescent="0.2">
      <c r="D41" s="1" t="s">
        <v>64</v>
      </c>
    </row>
    <row r="42" spans="4:4" ht="14" x14ac:dyDescent="0.2">
      <c r="D42" s="1" t="s">
        <v>51</v>
      </c>
    </row>
    <row r="43" spans="4:4" ht="14" x14ac:dyDescent="0.2">
      <c r="D43" s="1" t="s">
        <v>51</v>
      </c>
    </row>
    <row r="44" spans="4:4" ht="14" x14ac:dyDescent="0.2">
      <c r="D44" s="1" t="s">
        <v>66</v>
      </c>
    </row>
    <row r="45" spans="4:4" ht="14" x14ac:dyDescent="0.2">
      <c r="D45" s="1" t="s">
        <v>62</v>
      </c>
    </row>
    <row r="46" spans="4:4" ht="14" x14ac:dyDescent="0.2">
      <c r="D46" s="1" t="s">
        <v>64</v>
      </c>
    </row>
    <row r="47" spans="4:4" ht="14" x14ac:dyDescent="0.2">
      <c r="D47" s="1" t="s">
        <v>70</v>
      </c>
    </row>
    <row r="48" spans="4:4" ht="14" x14ac:dyDescent="0.2">
      <c r="D48" s="1" t="s">
        <v>55</v>
      </c>
    </row>
    <row r="49" spans="4:4" ht="14" x14ac:dyDescent="0.2">
      <c r="D49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Modelowy skład portfela</vt:lpstr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Chuszno</cp:lastModifiedBy>
  <dcterms:modified xsi:type="dcterms:W3CDTF">2026-01-14T00:34:46Z</dcterms:modified>
</cp:coreProperties>
</file>